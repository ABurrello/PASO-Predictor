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Questa_cartella_di_lavoro" autoCompressPictures="0"/>
  <mc:AlternateContent xmlns:mc="http://schemas.openxmlformats.org/markup-compatibility/2006">
    <mc:Choice Requires="x15">
      <x15ac:absPath xmlns:x15ac="http://schemas.microsoft.com/office/spreadsheetml/2010/11/ac" url="C:\Users\ale_m\Downloads\"/>
    </mc:Choice>
  </mc:AlternateContent>
  <xr:revisionPtr revIDLastSave="0" documentId="10_ncr:100000_{5F7166E5-F83F-4D72-93A2-F17EA8BF343F}" xr6:coauthVersionLast="31" xr6:coauthVersionMax="40" xr10:uidLastSave="{00000000-0000-0000-0000-000000000000}"/>
  <workbookProtection workbookAlgorithmName="SHA-512" workbookHashValue="jHL5nyoHGMuef9VW+FJu56K+PmvDT+jymUV8RZ42SueU7UmHIsXTa1/w6gE/QZ8qTxveyGgbmiSsNi22e/Ls3A==" workbookSaltValue="60/a4m1j+CZkSsctyrwCIA==" workbookSpinCount="100000" lockStructure="1"/>
  <bookViews>
    <workbookView xWindow="0" yWindow="0" windowWidth="19200" windowHeight="6380" tabRatio="500" xr2:uid="{00000000-000D-0000-FFFF-FFFF00000000}"/>
  </bookViews>
  <sheets>
    <sheet name="DDD" sheetId="5" r:id="rId1"/>
    <sheet name="PASO Score" sheetId="4" r:id="rId2"/>
  </sheet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4" l="1"/>
  <c r="H10" i="4"/>
  <c r="H13" i="4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H17" i="4"/>
  <c r="H21" i="4"/>
  <c r="H24" i="4"/>
  <c r="J15" i="4" l="1"/>
  <c r="H6" i="5"/>
  <c r="K20" i="4" l="1"/>
  <c r="K21" i="4"/>
  <c r="K22" i="4"/>
</calcChain>
</file>

<file path=xl/sharedStrings.xml><?xml version="1.0" encoding="utf-8"?>
<sst xmlns="http://schemas.openxmlformats.org/spreadsheetml/2006/main" count="153" uniqueCount="148">
  <si>
    <t>Duration of Hypertension</t>
  </si>
  <si>
    <t>F</t>
  </si>
  <si>
    <t>M</t>
  </si>
  <si>
    <t>(months)</t>
  </si>
  <si>
    <t>BMI</t>
  </si>
  <si>
    <t>DDD</t>
  </si>
  <si>
    <t>Yes</t>
  </si>
  <si>
    <t>No</t>
  </si>
  <si>
    <t>(LVH and/or MA)</t>
  </si>
  <si>
    <t>(see panel DDD)</t>
  </si>
  <si>
    <t>(Kg/m2)</t>
  </si>
  <si>
    <t>Points</t>
  </si>
  <si>
    <t>&lt; 24</t>
  </si>
  <si>
    <t>24-29.9</t>
  </si>
  <si>
    <t>&gt;/= 30</t>
  </si>
  <si>
    <t>&gt;/= 20</t>
  </si>
  <si>
    <t>Score</t>
  </si>
  <si>
    <t>Outcome</t>
  </si>
  <si>
    <t>Percentage Distribution</t>
  </si>
  <si>
    <t>Complete</t>
  </si>
  <si>
    <t>Partial</t>
  </si>
  <si>
    <t>Absent</t>
  </si>
  <si>
    <t>https://www.whocc.no/atc_ddd_index/</t>
  </si>
  <si>
    <t>mg</t>
  </si>
  <si>
    <t>Amiloride</t>
  </si>
  <si>
    <t>Atenolol</t>
  </si>
  <si>
    <t>Bardinipine</t>
  </si>
  <si>
    <t>Bisoprolol</t>
  </si>
  <si>
    <t xml:space="preserve">Candesartan </t>
  </si>
  <si>
    <t>Carvedilol</t>
  </si>
  <si>
    <t>Diltiazem</t>
  </si>
  <si>
    <t xml:space="preserve">Doxazosin  </t>
  </si>
  <si>
    <t>Enalapril</t>
  </si>
  <si>
    <t>Felodipine</t>
  </si>
  <si>
    <t>Fosinopril</t>
  </si>
  <si>
    <t xml:space="preserve">Furosemide </t>
  </si>
  <si>
    <t>Irbesartan</t>
  </si>
  <si>
    <t>Lacidipine</t>
  </si>
  <si>
    <t>Lercanidipine</t>
  </si>
  <si>
    <t>Losartan</t>
  </si>
  <si>
    <t>Manidipine</t>
  </si>
  <si>
    <t>Metoprolol</t>
  </si>
  <si>
    <t>Moxonidine</t>
  </si>
  <si>
    <t>Nebivolol</t>
  </si>
  <si>
    <t>Nifedipine</t>
  </si>
  <si>
    <t xml:space="preserve">Nisoldipine </t>
  </si>
  <si>
    <t xml:space="preserve">Nitrendipine </t>
  </si>
  <si>
    <t>Olmesartan</t>
  </si>
  <si>
    <t>Prazosin</t>
  </si>
  <si>
    <t>Propranolol</t>
  </si>
  <si>
    <t>Ramipril</t>
  </si>
  <si>
    <t xml:space="preserve">Spironolactone </t>
  </si>
  <si>
    <t>Telmisartan</t>
  </si>
  <si>
    <t>Torasemide</t>
  </si>
  <si>
    <t>Urapidil</t>
  </si>
  <si>
    <t>Valsartan</t>
  </si>
  <si>
    <t>Verapamil</t>
  </si>
  <si>
    <t xml:space="preserve">Amlodipine </t>
  </si>
  <si>
    <t>TOTAL DDD</t>
  </si>
  <si>
    <t>Hydrochlorothiazide</t>
  </si>
  <si>
    <t>Indapamide</t>
  </si>
  <si>
    <t>Bumetanide</t>
  </si>
  <si>
    <t>Metolazone</t>
  </si>
  <si>
    <t>Eplerenone</t>
  </si>
  <si>
    <t>Nicardipine</t>
  </si>
  <si>
    <t>Isradipine</t>
  </si>
  <si>
    <t>Terazosin</t>
  </si>
  <si>
    <t>Nadolol</t>
  </si>
  <si>
    <t>Timolol</t>
  </si>
  <si>
    <t>Penbutolol</t>
  </si>
  <si>
    <t>Pindolol</t>
  </si>
  <si>
    <t>Carteolol</t>
  </si>
  <si>
    <t>Esmolol</t>
  </si>
  <si>
    <t>Betaxolol</t>
  </si>
  <si>
    <t>Acebutolol</t>
  </si>
  <si>
    <t>Sotalol</t>
  </si>
  <si>
    <t>Labetolol</t>
  </si>
  <si>
    <t>Captopril</t>
  </si>
  <si>
    <t>Lisinopril</t>
  </si>
  <si>
    <t>Benazepril</t>
  </si>
  <si>
    <t>Quinapril</t>
  </si>
  <si>
    <t>Moexipril</t>
  </si>
  <si>
    <t>Spirapril</t>
  </si>
  <si>
    <t>Trandolapril</t>
  </si>
  <si>
    <t>Perindopril</t>
  </si>
  <si>
    <t>Clonidine</t>
  </si>
  <si>
    <t>Reserpine</t>
  </si>
  <si>
    <t>Guanfacine</t>
  </si>
  <si>
    <t>Eprosartan</t>
  </si>
  <si>
    <t>Aliskiren</t>
  </si>
  <si>
    <t>Hydralazine</t>
  </si>
  <si>
    <t>Minoxidil</t>
  </si>
  <si>
    <t>Potassium Canrenoate</t>
  </si>
  <si>
    <t>Drug</t>
  </si>
  <si>
    <t>Chlortalidone</t>
  </si>
  <si>
    <t>Methyldopa</t>
  </si>
  <si>
    <t>Triamterene</t>
  </si>
  <si>
    <t>&lt;120</t>
  </si>
  <si>
    <t>120-239</t>
  </si>
  <si>
    <t>&gt;/= 239</t>
  </si>
  <si>
    <t>&lt; 3</t>
  </si>
  <si>
    <t>&gt;/=9</t>
  </si>
  <si>
    <t>7.5</t>
  </si>
  <si>
    <t>3.5</t>
  </si>
  <si>
    <t>1.5</t>
  </si>
  <si>
    <t>0.5</t>
  </si>
  <si>
    <t>3-8.99</t>
  </si>
  <si>
    <t>&lt; 13</t>
  </si>
  <si>
    <t>13-19</t>
  </si>
  <si>
    <t>Cut-off: &gt; 16</t>
  </si>
  <si>
    <t>Sex</t>
  </si>
  <si>
    <t>DDD - Defined Daily Dose</t>
  </si>
  <si>
    <t>Target Organ Damage</t>
  </si>
  <si>
    <t>Nodule Size at Imaging</t>
  </si>
  <si>
    <t>(diameter, mm)</t>
  </si>
  <si>
    <t>Dose</t>
  </si>
  <si>
    <t>Antihypertensive medication: calculation of Defined Daily Dose (DDD)</t>
  </si>
  <si>
    <t>DDD = average maintenance dose for the clinical indication in adults</t>
  </si>
  <si>
    <t xml:space="preserve">(A) Insert patient dosage for each medication in highlighted column </t>
  </si>
  <si>
    <t>(B) Click Next</t>
  </si>
  <si>
    <t>PASO Predictor: calculation of PASO score</t>
  </si>
  <si>
    <t>Category</t>
  </si>
  <si>
    <t>Variable</t>
  </si>
  <si>
    <t>(A)</t>
  </si>
  <si>
    <t>(B)</t>
  </si>
  <si>
    <t xml:space="preserve">(C) </t>
  </si>
  <si>
    <r>
      <rPr>
        <b/>
        <sz val="12"/>
        <color theme="1"/>
        <rFont val="Calibri"/>
        <family val="2"/>
        <scheme val="minor"/>
      </rPr>
      <t>Complete</t>
    </r>
    <r>
      <rPr>
        <sz val="12"/>
        <color theme="1"/>
        <rFont val="Calibri"/>
        <family val="2"/>
        <scheme val="minor"/>
      </rPr>
      <t xml:space="preserve"> = Clinical remission</t>
    </r>
  </si>
  <si>
    <r>
      <rPr>
        <b/>
        <sz val="12"/>
        <color theme="1"/>
        <rFont val="Calibri"/>
        <family val="2"/>
        <scheme val="minor"/>
      </rPr>
      <t>Absent</t>
    </r>
    <r>
      <rPr>
        <sz val="12"/>
        <color theme="1"/>
        <rFont val="Calibri"/>
        <family val="2"/>
        <scheme val="minor"/>
      </rPr>
      <t xml:space="preserve"> = No clinical improvement</t>
    </r>
  </si>
  <si>
    <t>https://www.ncbi.nlm.nih.gov/pmc/articles/PMC5572673/</t>
  </si>
  <si>
    <t>Click Reset to return to DDD page before entering data for the next patient;</t>
  </si>
  <si>
    <t>Patient Data</t>
  </si>
  <si>
    <r>
      <rPr>
        <b/>
        <sz val="12"/>
        <color theme="1"/>
        <rFont val="Calibri"/>
        <family val="2"/>
        <scheme val="minor"/>
      </rPr>
      <t>Partial</t>
    </r>
    <r>
      <rPr>
        <sz val="12"/>
        <color theme="1"/>
        <rFont val="Calibri"/>
        <family val="2"/>
        <scheme val="minor"/>
      </rPr>
      <t xml:space="preserve"> = Clinical improvement</t>
    </r>
  </si>
  <si>
    <t>The Predicted Outcome AFTER ADRENALECTOMY is:</t>
  </si>
  <si>
    <t xml:space="preserve">Insert patient data in highlighted column for each category (DDD is automatically assigned); attention: units must be in accordance with those specified; sex must be entered as F (female) or M (male);  target organ damage must be entered as Yes or No; </t>
  </si>
  <si>
    <r>
      <t xml:space="preserve">Click </t>
    </r>
    <r>
      <rPr>
        <b/>
        <sz val="12"/>
        <color theme="1"/>
        <rFont val="Calibri"/>
        <family val="2"/>
        <scheme val="minor"/>
      </rPr>
      <t>Calculate</t>
    </r>
    <r>
      <rPr>
        <sz val="12"/>
        <color theme="1"/>
        <rFont val="Calibri"/>
        <family val="2"/>
        <scheme val="minor"/>
      </rPr>
      <t xml:space="preserve"> to obtain score, </t>
    </r>
    <r>
      <rPr>
        <b/>
        <sz val="12"/>
        <color theme="1"/>
        <rFont val="Calibri"/>
        <family val="2"/>
        <scheme val="minor"/>
      </rPr>
      <t>Predicted Outcome</t>
    </r>
    <r>
      <rPr>
        <sz val="12"/>
        <color theme="1"/>
        <rFont val="Calibri"/>
        <family val="2"/>
        <scheme val="minor"/>
      </rPr>
      <t xml:space="preserve"> and the </t>
    </r>
    <r>
      <rPr>
        <b/>
        <sz val="12"/>
        <color theme="1"/>
        <rFont val="Calibri"/>
        <family val="2"/>
        <scheme val="minor"/>
      </rPr>
      <t>Percentage Distribution</t>
    </r>
    <r>
      <rPr>
        <sz val="12"/>
        <color theme="1"/>
        <rFont val="Calibri"/>
        <family val="2"/>
        <scheme val="minor"/>
      </rPr>
      <t xml:space="preserve"> (this is the proportion of patients in each clinical success category with the resulting score);</t>
    </r>
  </si>
  <si>
    <t>0.1-2.0</t>
  </si>
  <si>
    <t>2.1-4.0</t>
  </si>
  <si>
    <t>4.1-6.0</t>
  </si>
  <si>
    <t>6.1-8.0</t>
  </si>
  <si>
    <t>8.1-10.0</t>
  </si>
  <si>
    <t>10.1-12.0</t>
  </si>
  <si>
    <t>12.1-14.0</t>
  </si>
  <si>
    <t>14.1-16.0</t>
  </si>
  <si>
    <t>16.1-18.0</t>
  </si>
  <si>
    <t>18.1-20.0</t>
  </si>
  <si>
    <t>20.1-22.0</t>
  </si>
  <si>
    <t>22.1-24.0</t>
  </si>
  <si>
    <t>24.1-25.0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</si>
</sst>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2"/>
      <color theme="0" tint="-0.149967955565050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</borders>
  <cellStyleXfs count="11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6" fillId="0" borderId="0"/>
  </cellStyleXfs>
  <cellXfs count="115">
    <xf numFmtId="0" fontId="0" fillId="0" borderId="0" xfId="0"/>
    <xf numFmtId="0" fontId="0" fillId="2" borderId="0" xfId="0" applyFill="1"/>
    <xf numFmtId="0" fontId="0" fillId="2" borderId="16" xfId="0" applyFill="1" applyBorder="1"/>
    <xf numFmtId="0" fontId="0" fillId="2" borderId="2" xfId="0" applyFill="1" applyBorder="1"/>
    <xf numFmtId="0" fontId="0" fillId="2" borderId="17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2" borderId="0" xfId="115" applyFill="1" applyBorder="1"/>
    <xf numFmtId="0" fontId="5" fillId="3" borderId="24" xfId="0" applyFont="1" applyFill="1" applyBorder="1" applyAlignment="1">
      <alignment horizontal="left" wrapText="1"/>
    </xf>
    <xf numFmtId="0" fontId="5" fillId="3" borderId="31" xfId="0" applyFont="1" applyFill="1" applyBorder="1" applyAlignment="1">
      <alignment horizontal="center" wrapText="1"/>
    </xf>
    <xf numFmtId="0" fontId="5" fillId="3" borderId="23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0" fillId="4" borderId="5" xfId="0" applyFill="1" applyBorder="1" applyAlignment="1">
      <alignment vertical="center" wrapText="1"/>
    </xf>
    <xf numFmtId="0" fontId="0" fillId="4" borderId="5" xfId="0" applyFill="1" applyBorder="1" applyAlignment="1">
      <alignment wrapText="1"/>
    </xf>
    <xf numFmtId="0" fontId="0" fillId="5" borderId="27" xfId="0" applyFill="1" applyBorder="1" applyAlignment="1">
      <alignment vertical="center" wrapText="1"/>
    </xf>
    <xf numFmtId="0" fontId="0" fillId="5" borderId="10" xfId="0" applyFill="1" applyBorder="1" applyAlignment="1">
      <alignment vertical="center" wrapText="1"/>
    </xf>
    <xf numFmtId="0" fontId="0" fillId="5" borderId="10" xfId="0" applyFill="1" applyBorder="1" applyAlignment="1">
      <alignment wrapText="1"/>
    </xf>
    <xf numFmtId="0" fontId="0" fillId="5" borderId="11" xfId="0" applyFill="1" applyBorder="1" applyAlignment="1">
      <alignment vertical="center" wrapText="1"/>
    </xf>
    <xf numFmtId="0" fontId="0" fillId="5" borderId="13" xfId="0" applyFill="1" applyBorder="1" applyAlignment="1">
      <alignment vertical="center" wrapText="1"/>
    </xf>
    <xf numFmtId="0" fontId="0" fillId="5" borderId="5" xfId="0" applyFill="1" applyBorder="1" applyAlignment="1">
      <alignment vertical="center" wrapText="1"/>
    </xf>
    <xf numFmtId="0" fontId="0" fillId="5" borderId="5" xfId="0" applyFill="1" applyBorder="1" applyAlignment="1">
      <alignment wrapText="1"/>
    </xf>
    <xf numFmtId="0" fontId="0" fillId="5" borderId="7" xfId="0" applyFill="1" applyBorder="1" applyAlignment="1">
      <alignment vertical="center" wrapText="1"/>
    </xf>
    <xf numFmtId="0" fontId="0" fillId="4" borderId="10" xfId="0" applyFill="1" applyBorder="1" applyAlignment="1">
      <alignment vertical="center" wrapText="1"/>
    </xf>
    <xf numFmtId="0" fontId="0" fillId="4" borderId="10" xfId="0" applyFill="1" applyBorder="1" applyAlignment="1">
      <alignment wrapText="1"/>
    </xf>
    <xf numFmtId="0" fontId="5" fillId="3" borderId="23" xfId="0" applyFont="1" applyFill="1" applyBorder="1"/>
    <xf numFmtId="0" fontId="0" fillId="5" borderId="14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6" borderId="24" xfId="0" applyFont="1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5" xfId="0" applyFont="1" applyFill="1" applyBorder="1"/>
    <xf numFmtId="0" fontId="0" fillId="6" borderId="26" xfId="0" applyFont="1" applyFill="1" applyBorder="1"/>
    <xf numFmtId="0" fontId="5" fillId="3" borderId="15" xfId="0" applyFont="1" applyFill="1" applyBorder="1" applyAlignment="1">
      <alignment horizontal="center"/>
    </xf>
    <xf numFmtId="0" fontId="7" fillId="2" borderId="0" xfId="0" applyFont="1" applyFill="1"/>
    <xf numFmtId="2" fontId="0" fillId="5" borderId="28" xfId="0" applyNumberFormat="1" applyFill="1" applyBorder="1" applyAlignment="1">
      <alignment horizontal="center"/>
    </xf>
    <xf numFmtId="2" fontId="0" fillId="4" borderId="29" xfId="0" applyNumberFormat="1" applyFill="1" applyBorder="1" applyAlignment="1">
      <alignment horizontal="center"/>
    </xf>
    <xf numFmtId="2" fontId="0" fillId="5" borderId="29" xfId="0" applyNumberFormat="1" applyFill="1" applyBorder="1" applyAlignment="1">
      <alignment horizontal="center"/>
    </xf>
    <xf numFmtId="2" fontId="0" fillId="5" borderId="30" xfId="0" applyNumberFormat="1" applyFill="1" applyBorder="1" applyAlignment="1">
      <alignment horizontal="center"/>
    </xf>
    <xf numFmtId="0" fontId="3" fillId="2" borderId="0" xfId="0" applyFont="1" applyFill="1" applyBorder="1"/>
    <xf numFmtId="0" fontId="5" fillId="3" borderId="37" xfId="0" applyFont="1" applyFill="1" applyBorder="1" applyAlignment="1">
      <alignment horizontal="left"/>
    </xf>
    <xf numFmtId="0" fontId="11" fillId="2" borderId="0" xfId="0" applyFont="1" applyFill="1"/>
    <xf numFmtId="0" fontId="9" fillId="2" borderId="2" xfId="0" applyFont="1" applyFill="1" applyBorder="1"/>
    <xf numFmtId="0" fontId="12" fillId="3" borderId="15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0" fillId="4" borderId="8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1" xfId="0" quotePrefix="1" applyFont="1" applyFill="1" applyBorder="1" applyAlignment="1">
      <alignment horizontal="center"/>
    </xf>
    <xf numFmtId="0" fontId="5" fillId="3" borderId="45" xfId="0" applyFont="1" applyFill="1" applyBorder="1" applyAlignment="1">
      <alignment horizontal="center"/>
    </xf>
    <xf numFmtId="0" fontId="5" fillId="3" borderId="38" xfId="0" applyFont="1" applyFill="1" applyBorder="1" applyAlignment="1">
      <alignment horizontal="center"/>
    </xf>
    <xf numFmtId="0" fontId="0" fillId="2" borderId="0" xfId="0" applyFont="1" applyFill="1"/>
    <xf numFmtId="0" fontId="1" fillId="2" borderId="0" xfId="115" applyFill="1"/>
    <xf numFmtId="0" fontId="0" fillId="5" borderId="35" xfId="0" applyFill="1" applyBorder="1" applyAlignment="1" applyProtection="1">
      <alignment horizontal="center"/>
      <protection locked="0"/>
    </xf>
    <xf numFmtId="0" fontId="0" fillId="4" borderId="33" xfId="0" applyFill="1" applyBorder="1" applyAlignment="1" applyProtection="1">
      <alignment horizontal="center"/>
      <protection locked="0"/>
    </xf>
    <xf numFmtId="0" fontId="0" fillId="5" borderId="33" xfId="0" applyFill="1" applyBorder="1" applyAlignment="1" applyProtection="1">
      <alignment horizontal="center"/>
      <protection locked="0"/>
    </xf>
    <xf numFmtId="0" fontId="0" fillId="5" borderId="34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vertical="center"/>
      <protection locked="0"/>
    </xf>
    <xf numFmtId="2" fontId="4" fillId="2" borderId="0" xfId="0" applyNumberFormat="1" applyFont="1" applyFill="1" applyBorder="1" applyProtection="1">
      <protection locked="0"/>
    </xf>
    <xf numFmtId="0" fontId="0" fillId="2" borderId="20" xfId="0" applyFill="1" applyBorder="1" applyProtection="1">
      <protection locked="0"/>
    </xf>
    <xf numFmtId="2" fontId="4" fillId="5" borderId="32" xfId="0" applyNumberFormat="1" applyFont="1" applyFill="1" applyBorder="1" applyProtection="1">
      <protection locked="0"/>
    </xf>
    <xf numFmtId="0" fontId="10" fillId="5" borderId="13" xfId="0" applyFont="1" applyFill="1" applyBorder="1" applyAlignment="1">
      <alignment horizontal="center"/>
    </xf>
    <xf numFmtId="0" fontId="10" fillId="4" borderId="5" xfId="0" applyFont="1" applyFill="1" applyBorder="1" applyAlignment="1">
      <alignment horizontal="center"/>
    </xf>
    <xf numFmtId="0" fontId="10" fillId="5" borderId="7" xfId="0" applyFont="1" applyFill="1" applyBorder="1" applyAlignment="1">
      <alignment horizontal="center"/>
    </xf>
    <xf numFmtId="0" fontId="3" fillId="2" borderId="0" xfId="0" applyFont="1" applyFill="1"/>
    <xf numFmtId="0" fontId="0" fillId="2" borderId="0" xfId="0" applyFont="1" applyFill="1" applyAlignment="1">
      <alignment horizontal="left" vertical="center" wrapText="1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41" xfId="0" applyNumberFormat="1" applyFont="1" applyFill="1" applyBorder="1" applyAlignment="1" applyProtection="1">
      <alignment horizontal="center" vertical="center"/>
      <protection locked="0"/>
    </xf>
    <xf numFmtId="2" fontId="0" fillId="5" borderId="42" xfId="0" applyNumberFormat="1" applyFont="1" applyFill="1" applyBorder="1" applyAlignment="1" applyProtection="1">
      <alignment horizontal="center" vertical="center"/>
      <protection locked="0"/>
    </xf>
    <xf numFmtId="2" fontId="0" fillId="5" borderId="43" xfId="0" applyNumberFormat="1" applyFont="1" applyFill="1" applyBorder="1" applyAlignment="1" applyProtection="1">
      <alignment horizontal="center" vertical="center"/>
      <protection locked="0"/>
    </xf>
    <xf numFmtId="0" fontId="0" fillId="5" borderId="41" xfId="0" applyFill="1" applyBorder="1" applyAlignment="1" applyProtection="1">
      <alignment horizontal="center" vertical="center"/>
      <protection locked="0"/>
    </xf>
    <xf numFmtId="0" fontId="0" fillId="5" borderId="43" xfId="0" applyFill="1" applyBorder="1" applyAlignment="1" applyProtection="1">
      <alignment horizontal="center" vertical="center"/>
      <protection locked="0"/>
    </xf>
    <xf numFmtId="0" fontId="0" fillId="5" borderId="46" xfId="0" applyFill="1" applyBorder="1" applyAlignment="1" applyProtection="1">
      <alignment horizontal="center" vertical="center"/>
      <protection locked="0"/>
    </xf>
    <xf numFmtId="0" fontId="0" fillId="5" borderId="47" xfId="0" applyFill="1" applyBorder="1" applyAlignment="1" applyProtection="1">
      <alignment horizontal="center" vertical="center"/>
      <protection locked="0"/>
    </xf>
    <xf numFmtId="0" fontId="0" fillId="5" borderId="48" xfId="0" applyFill="1" applyBorder="1" applyAlignment="1" applyProtection="1">
      <alignment horizontal="center" vertical="center"/>
      <protection locked="0"/>
    </xf>
    <xf numFmtId="0" fontId="12" fillId="3" borderId="16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0" fillId="5" borderId="42" xfId="0" applyFill="1" applyBorder="1" applyAlignment="1" applyProtection="1">
      <alignment horizontal="center" vertical="center"/>
      <protection locked="0"/>
    </xf>
    <xf numFmtId="0" fontId="10" fillId="6" borderId="16" xfId="0" applyFont="1" applyFill="1" applyBorder="1" applyAlignment="1">
      <alignment horizontal="center" vertical="center" wrapText="1"/>
    </xf>
    <xf numFmtId="0" fontId="10" fillId="6" borderId="17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0" fillId="6" borderId="18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9" fillId="5" borderId="15" xfId="0" applyFont="1" applyFill="1" applyBorder="1" applyAlignment="1" applyProtection="1">
      <alignment horizontal="center"/>
      <protection locked="0"/>
    </xf>
    <xf numFmtId="0" fontId="9" fillId="5" borderId="12" xfId="0" applyFont="1" applyFill="1" applyBorder="1" applyAlignment="1">
      <alignment horizontal="center" vertical="center"/>
    </xf>
    <xf numFmtId="0" fontId="9" fillId="5" borderId="39" xfId="0" applyFont="1" applyFill="1" applyBorder="1" applyAlignment="1">
      <alignment horizontal="center" vertical="center"/>
    </xf>
    <xf numFmtId="0" fontId="9" fillId="5" borderId="4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vertical="center"/>
    </xf>
    <xf numFmtId="0" fontId="9" fillId="5" borderId="44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/>
    </xf>
    <xf numFmtId="0" fontId="9" fillId="5" borderId="50" xfId="0" applyFont="1" applyFill="1" applyBorder="1" applyAlignment="1">
      <alignment horizontal="center" vertical="center"/>
    </xf>
    <xf numFmtId="0" fontId="9" fillId="5" borderId="51" xfId="0" applyFont="1" applyFill="1" applyBorder="1" applyAlignment="1">
      <alignment horizontal="center" vertical="center"/>
    </xf>
    <xf numFmtId="164" fontId="13" fillId="4" borderId="6" xfId="0" applyNumberFormat="1" applyFont="1" applyFill="1" applyBorder="1" applyAlignment="1">
      <alignment horizontal="center"/>
    </xf>
    <xf numFmtId="164" fontId="9" fillId="5" borderId="9" xfId="0" applyNumberFormat="1" applyFont="1" applyFill="1" applyBorder="1" applyAlignment="1">
      <alignment horizontal="center"/>
    </xf>
    <xf numFmtId="164" fontId="9" fillId="5" borderId="6" xfId="0" applyNumberFormat="1" applyFont="1" applyFill="1" applyBorder="1" applyAlignment="1">
      <alignment horizontal="center"/>
    </xf>
  </cellXfs>
  <cellStyles count="119">
    <cellStyle name="Collegamento ipertestuale" xfId="1" builtinId="8" hidden="1"/>
    <cellStyle name="Collegamento ipertestuale" xfId="3" builtinId="8" hidden="1"/>
    <cellStyle name="Collegamento ipertestuale" xfId="5" builtinId="8" hidden="1"/>
    <cellStyle name="Collegamento ipertestuale" xfId="7" builtinId="8" hidden="1"/>
    <cellStyle name="Collegamento ipertestuale" xfId="9" builtinId="8" hidden="1"/>
    <cellStyle name="Collegamento ipertestuale" xfId="11" builtinId="8" hidden="1"/>
    <cellStyle name="Collegamento ipertestuale" xfId="13" builtinId="8" hidden="1"/>
    <cellStyle name="Collegamento ipertestuale" xfId="15" builtinId="8" hidden="1"/>
    <cellStyle name="Collegamento ipertestuale" xfId="17" builtinId="8" hidden="1"/>
    <cellStyle name="Collegamento ipertestuale" xfId="19" builtinId="8" hidden="1"/>
    <cellStyle name="Collegamento ipertestuale" xfId="21" builtinId="8" hidden="1"/>
    <cellStyle name="Collegamento ipertestuale" xfId="23" builtinId="8" hidden="1"/>
    <cellStyle name="Collegamento ipertestuale" xfId="25" builtinId="8" hidden="1"/>
    <cellStyle name="Collegamento ipertestuale" xfId="27" builtinId="8" hidden="1"/>
    <cellStyle name="Collegamento ipertestuale" xfId="29" builtinId="8" hidden="1"/>
    <cellStyle name="Collegamento ipertestuale" xfId="31" builtinId="8" hidden="1"/>
    <cellStyle name="Collegamento ipertestuale" xfId="33" builtinId="8" hidden="1"/>
    <cellStyle name="Collegamento ipertestuale" xfId="35" builtinId="8" hidden="1"/>
    <cellStyle name="Collegamento ipertestuale" xfId="37" builtinId="8" hidden="1"/>
    <cellStyle name="Collegamento ipertestuale" xfId="39" builtinId="8" hidden="1"/>
    <cellStyle name="Collegamento ipertestuale" xfId="41" builtinId="8" hidden="1"/>
    <cellStyle name="Collegamento ipertestuale" xfId="43" builtinId="8" hidden="1"/>
    <cellStyle name="Collegamento ipertestuale" xfId="45" builtinId="8" hidden="1"/>
    <cellStyle name="Collegamento ipertestuale" xfId="47" builtinId="8" hidden="1"/>
    <cellStyle name="Collegamento ipertestuale" xfId="49" builtinId="8" hidden="1"/>
    <cellStyle name="Collegamento ipertestuale" xfId="51" builtinId="8" hidden="1"/>
    <cellStyle name="Collegamento ipertestuale" xfId="53" builtinId="8" hidden="1"/>
    <cellStyle name="Collegamento ipertestuale" xfId="55" builtinId="8" hidden="1"/>
    <cellStyle name="Collegamento ipertestuale" xfId="57" builtinId="8" hidden="1"/>
    <cellStyle name="Collegamento ipertestuale" xfId="59" builtinId="8" hidden="1"/>
    <cellStyle name="Collegamento ipertestuale" xfId="61" builtinId="8" hidden="1"/>
    <cellStyle name="Collegamento ipertestuale" xfId="63" builtinId="8" hidden="1"/>
    <cellStyle name="Collegamento ipertestuale" xfId="65" builtinId="8" hidden="1"/>
    <cellStyle name="Collegamento ipertestuale" xfId="67" builtinId="8" hidden="1"/>
    <cellStyle name="Collegamento ipertestuale" xfId="69" builtinId="8" hidden="1"/>
    <cellStyle name="Collegamento ipertestuale" xfId="71" builtinId="8" hidden="1"/>
    <cellStyle name="Collegamento ipertestuale" xfId="73" builtinId="8" hidden="1"/>
    <cellStyle name="Collegamento ipertestuale" xfId="75" builtinId="8" hidden="1"/>
    <cellStyle name="Collegamento ipertestuale" xfId="77" builtinId="8" hidden="1"/>
    <cellStyle name="Collegamento ipertestuale" xfId="79" builtinId="8" hidden="1"/>
    <cellStyle name="Collegamento ipertestuale" xfId="81" builtinId="8" hidden="1"/>
    <cellStyle name="Collegamento ipertestuale" xfId="83" builtinId="8" hidden="1"/>
    <cellStyle name="Collegamento ipertestuale" xfId="85" builtinId="8" hidden="1"/>
    <cellStyle name="Collegamento ipertestuale" xfId="87" builtinId="8" hidden="1"/>
    <cellStyle name="Collegamento ipertestuale" xfId="89" builtinId="8" hidden="1"/>
    <cellStyle name="Collegamento ipertestuale" xfId="91" builtinId="8" hidden="1"/>
    <cellStyle name="Collegamento ipertestuale" xfId="93" builtinId="8" hidden="1"/>
    <cellStyle name="Collegamento ipertestuale" xfId="95" builtinId="8" hidden="1"/>
    <cellStyle name="Collegamento ipertestuale" xfId="97" builtinId="8" hidden="1"/>
    <cellStyle name="Collegamento ipertestuale" xfId="99" builtinId="8" hidden="1"/>
    <cellStyle name="Collegamento ipertestuale" xfId="101" builtinId="8" hidden="1"/>
    <cellStyle name="Collegamento ipertestuale" xfId="103" builtinId="8" hidden="1"/>
    <cellStyle name="Collegamento ipertestuale" xfId="105" builtinId="8" hidden="1"/>
    <cellStyle name="Collegamento ipertestuale" xfId="107" builtinId="8" hidden="1"/>
    <cellStyle name="Collegamento ipertestuale" xfId="109" builtinId="8" hidden="1"/>
    <cellStyle name="Collegamento ipertestuale" xfId="111" builtinId="8" hidden="1"/>
    <cellStyle name="Collegamento ipertestuale" xfId="113" builtinId="8" hidden="1"/>
    <cellStyle name="Collegamento ipertestuale" xfId="115" builtinId="8"/>
    <cellStyle name="Collegamento ipertestuale visitato" xfId="2" builtinId="9" hidden="1"/>
    <cellStyle name="Collegamento ipertestuale visitato" xfId="4" builtinId="9" hidden="1"/>
    <cellStyle name="Collegamento ipertestuale visitato" xfId="6" builtinId="9" hidden="1"/>
    <cellStyle name="Collegamento ipertestuale visitato" xfId="8" builtinId="9" hidden="1"/>
    <cellStyle name="Collegamento ipertestuale visitato" xfId="10" builtinId="9" hidden="1"/>
    <cellStyle name="Collegamento ipertestuale visitato" xfId="12" builtinId="9" hidden="1"/>
    <cellStyle name="Collegamento ipertestuale visitato" xfId="14" builtinId="9" hidden="1"/>
    <cellStyle name="Collegamento ipertestuale visitato" xfId="16" builtinId="9" hidden="1"/>
    <cellStyle name="Collegamento ipertestuale visitato" xfId="18" builtinId="9" hidden="1"/>
    <cellStyle name="Collegamento ipertestuale visitato" xfId="20" builtinId="9" hidden="1"/>
    <cellStyle name="Collegamento ipertestuale visitato" xfId="22" builtinId="9" hidden="1"/>
    <cellStyle name="Collegamento ipertestuale visitato" xfId="24" builtinId="9" hidden="1"/>
    <cellStyle name="Collegamento ipertestuale visitato" xfId="26" builtinId="9" hidden="1"/>
    <cellStyle name="Collegamento ipertestuale visitato" xfId="28" builtinId="9" hidden="1"/>
    <cellStyle name="Collegamento ipertestuale visitato" xfId="30" builtinId="9" hidden="1"/>
    <cellStyle name="Collegamento ipertestuale visitato" xfId="32" builtinId="9" hidden="1"/>
    <cellStyle name="Collegamento ipertestuale visitato" xfId="34" builtinId="9" hidden="1"/>
    <cellStyle name="Collegamento ipertestuale visitato" xfId="36" builtinId="9" hidden="1"/>
    <cellStyle name="Collegamento ipertestuale visitato" xfId="38" builtinId="9" hidden="1"/>
    <cellStyle name="Collegamento ipertestuale visitato" xfId="40" builtinId="9" hidden="1"/>
    <cellStyle name="Collegamento ipertestuale visitato" xfId="42" builtinId="9" hidden="1"/>
    <cellStyle name="Collegamento ipertestuale visitato" xfId="44" builtinId="9" hidden="1"/>
    <cellStyle name="Collegamento ipertestuale visitato" xfId="46" builtinId="9" hidden="1"/>
    <cellStyle name="Collegamento ipertestuale visitato" xfId="48" builtinId="9" hidden="1"/>
    <cellStyle name="Collegamento ipertestuale visitato" xfId="50" builtinId="9" hidden="1"/>
    <cellStyle name="Collegamento ipertestuale visitato" xfId="52" builtinId="9" hidden="1"/>
    <cellStyle name="Collegamento ipertestuale visitato" xfId="54" builtinId="9" hidden="1"/>
    <cellStyle name="Collegamento ipertestuale visitato" xfId="56" builtinId="9" hidden="1"/>
    <cellStyle name="Collegamento ipertestuale visitato" xfId="58" builtinId="9" hidden="1"/>
    <cellStyle name="Collegamento ipertestuale visitato" xfId="60" builtinId="9" hidden="1"/>
    <cellStyle name="Collegamento ipertestuale visitato" xfId="62" builtinId="9" hidden="1"/>
    <cellStyle name="Collegamento ipertestuale visitato" xfId="64" builtinId="9" hidden="1"/>
    <cellStyle name="Collegamento ipertestuale visitato" xfId="66" builtinId="9" hidden="1"/>
    <cellStyle name="Collegamento ipertestuale visitato" xfId="68" builtinId="9" hidden="1"/>
    <cellStyle name="Collegamento ipertestuale visitato" xfId="70" builtinId="9" hidden="1"/>
    <cellStyle name="Collegamento ipertestuale visitato" xfId="72" builtinId="9" hidden="1"/>
    <cellStyle name="Collegamento ipertestuale visitato" xfId="74" builtinId="9" hidden="1"/>
    <cellStyle name="Collegamento ipertestuale visitato" xfId="76" builtinId="9" hidden="1"/>
    <cellStyle name="Collegamento ipertestuale visitato" xfId="78" builtinId="9" hidden="1"/>
    <cellStyle name="Collegamento ipertestuale visitato" xfId="80" builtinId="9" hidden="1"/>
    <cellStyle name="Collegamento ipertestuale visitato" xfId="82" builtinId="9" hidden="1"/>
    <cellStyle name="Collegamento ipertestuale visitato" xfId="84" builtinId="9" hidden="1"/>
    <cellStyle name="Collegamento ipertestuale visitato" xfId="86" builtinId="9" hidden="1"/>
    <cellStyle name="Collegamento ipertestuale visitato" xfId="88" builtinId="9" hidden="1"/>
    <cellStyle name="Collegamento ipertestuale visitato" xfId="90" builtinId="9" hidden="1"/>
    <cellStyle name="Collegamento ipertestuale visitato" xfId="92" builtinId="9" hidden="1"/>
    <cellStyle name="Collegamento ipertestuale visitato" xfId="94" builtinId="9" hidden="1"/>
    <cellStyle name="Collegamento ipertestuale visitato" xfId="96" builtinId="9" hidden="1"/>
    <cellStyle name="Collegamento ipertestuale visitato" xfId="98" builtinId="9" hidden="1"/>
    <cellStyle name="Collegamento ipertestuale visitato" xfId="100" builtinId="9" hidden="1"/>
    <cellStyle name="Collegamento ipertestuale visitato" xfId="102" builtinId="9" hidden="1"/>
    <cellStyle name="Collegamento ipertestuale visitato" xfId="104" builtinId="9" hidden="1"/>
    <cellStyle name="Collegamento ipertestuale visitato" xfId="106" builtinId="9" hidden="1"/>
    <cellStyle name="Collegamento ipertestuale visitato" xfId="108" builtinId="9" hidden="1"/>
    <cellStyle name="Collegamento ipertestuale visitato" xfId="110" builtinId="9" hidden="1"/>
    <cellStyle name="Collegamento ipertestuale visitato" xfId="112" builtinId="9" hidden="1"/>
    <cellStyle name="Collegamento ipertestuale visitato" xfId="114" builtinId="9" hidden="1"/>
    <cellStyle name="Collegamento ipertestuale visitato" xfId="116" builtinId="9" hidden="1"/>
    <cellStyle name="Collegamento ipertestuale visitato" xfId="117" builtinId="9" hidden="1"/>
    <cellStyle name="Normale" xfId="0" builtinId="0"/>
    <cellStyle name="Normale 2" xfId="118" xr:uid="{00000000-0005-0000-0000-000076000000}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7</xdr:row>
          <xdr:rowOff>101600</xdr:rowOff>
        </xdr:from>
        <xdr:to>
          <xdr:col>7</xdr:col>
          <xdr:colOff>787400</xdr:colOff>
          <xdr:row>9</xdr:row>
          <xdr:rowOff>101600</xdr:rowOff>
        </xdr:to>
        <xdr:sp macro="" textlink="">
          <xdr:nvSpPr>
            <xdr:cNvPr id="4099" name="Pulsante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23</xdr:row>
          <xdr:rowOff>63500</xdr:rowOff>
        </xdr:from>
        <xdr:to>
          <xdr:col>10</xdr:col>
          <xdr:colOff>990600</xdr:colOff>
          <xdr:row>25</xdr:row>
          <xdr:rowOff>177800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4</xdr:row>
          <xdr:rowOff>63500</xdr:rowOff>
        </xdr:from>
        <xdr:to>
          <xdr:col>10</xdr:col>
          <xdr:colOff>1016000</xdr:colOff>
          <xdr:row>7</xdr:row>
          <xdr:rowOff>12700</xdr:rowOff>
        </xdr:to>
        <xdr:sp macro="" textlink="">
          <xdr:nvSpPr>
            <xdr:cNvPr id="1027" name="Pulsant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whocc.no/atc_ddd_index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ncbi.nlm.nih.gov/pmc/articles/PMC5572673/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B2:K77"/>
  <sheetViews>
    <sheetView tabSelected="1" workbookViewId="0">
      <selection activeCell="H13" sqref="H13"/>
    </sheetView>
  </sheetViews>
  <sheetFormatPr defaultColWidth="10.83203125" defaultRowHeight="15.5" x14ac:dyDescent="0.35"/>
  <cols>
    <col min="1" max="1" width="3.33203125" style="1" customWidth="1"/>
    <col min="2" max="2" width="4.33203125" style="1" customWidth="1"/>
    <col min="3" max="3" width="22.6640625" style="1" customWidth="1"/>
    <col min="4" max="4" width="9" style="1" customWidth="1"/>
    <col min="5" max="5" width="12.33203125" style="11" customWidth="1"/>
    <col min="6" max="6" width="12.5" style="11" customWidth="1"/>
    <col min="7" max="7" width="2.6640625" style="1" customWidth="1"/>
    <col min="8" max="8" width="12.1640625" style="1" customWidth="1"/>
    <col min="9" max="9" width="3.6640625" style="1" customWidth="1"/>
    <col min="10" max="10" width="4" style="1" customWidth="1"/>
    <col min="11" max="16384" width="10.83203125" style="1"/>
  </cols>
  <sheetData>
    <row r="2" spans="2:11" ht="21" x14ac:dyDescent="0.5">
      <c r="B2" s="52" t="s">
        <v>116</v>
      </c>
    </row>
    <row r="3" spans="2:11" ht="10" customHeight="1" thickBot="1" x14ac:dyDescent="0.4"/>
    <row r="4" spans="2:11" ht="9" customHeight="1" thickBot="1" x14ac:dyDescent="0.4">
      <c r="B4" s="2"/>
      <c r="C4" s="3"/>
      <c r="D4" s="3"/>
      <c r="E4" s="12"/>
      <c r="F4" s="12"/>
      <c r="G4" s="3"/>
      <c r="H4" s="3"/>
      <c r="I4" s="4"/>
    </row>
    <row r="5" spans="2:11" ht="16" thickBot="1" x14ac:dyDescent="0.4">
      <c r="B5" s="5"/>
      <c r="C5" s="16" t="s">
        <v>93</v>
      </c>
      <c r="D5" s="17" t="s">
        <v>23</v>
      </c>
      <c r="E5" s="18" t="s">
        <v>115</v>
      </c>
      <c r="F5" s="19" t="s">
        <v>5</v>
      </c>
      <c r="G5" s="6"/>
      <c r="H5" s="32" t="s">
        <v>58</v>
      </c>
      <c r="I5" s="7"/>
      <c r="K5" s="1" t="s">
        <v>117</v>
      </c>
    </row>
    <row r="6" spans="2:11" ht="16" thickBot="1" x14ac:dyDescent="0.4">
      <c r="B6" s="5"/>
      <c r="C6" s="26" t="s">
        <v>74</v>
      </c>
      <c r="D6" s="22">
        <v>400</v>
      </c>
      <c r="E6" s="67"/>
      <c r="F6" s="46">
        <f>E6/D6</f>
        <v>0</v>
      </c>
      <c r="G6" s="6"/>
      <c r="H6" s="74">
        <f>SUM(F6:F76)</f>
        <v>0</v>
      </c>
      <c r="I6" s="7"/>
      <c r="K6" s="15" t="s">
        <v>22</v>
      </c>
    </row>
    <row r="7" spans="2:11" x14ac:dyDescent="0.35">
      <c r="B7" s="5"/>
      <c r="C7" s="20" t="s">
        <v>89</v>
      </c>
      <c r="D7" s="30">
        <v>150</v>
      </c>
      <c r="E7" s="68"/>
      <c r="F7" s="47">
        <f>E7/D7</f>
        <v>0</v>
      </c>
      <c r="G7" s="6"/>
      <c r="H7" s="6"/>
      <c r="I7" s="7"/>
    </row>
    <row r="8" spans="2:11" x14ac:dyDescent="0.35">
      <c r="B8" s="5"/>
      <c r="C8" s="27" t="s">
        <v>24</v>
      </c>
      <c r="D8" s="23">
        <v>10</v>
      </c>
      <c r="E8" s="69"/>
      <c r="F8" s="48">
        <f>E8/D8</f>
        <v>0</v>
      </c>
      <c r="G8" s="6"/>
      <c r="H8" s="6"/>
      <c r="I8" s="7"/>
    </row>
    <row r="9" spans="2:11" x14ac:dyDescent="0.35">
      <c r="B9" s="5"/>
      <c r="C9" s="20" t="s">
        <v>57</v>
      </c>
      <c r="D9" s="30">
        <v>5</v>
      </c>
      <c r="E9" s="68"/>
      <c r="F9" s="47">
        <f t="shared" ref="F9:F72" si="0">E9/D9</f>
        <v>0</v>
      </c>
      <c r="G9" s="6"/>
      <c r="H9" s="6"/>
      <c r="I9" s="7"/>
      <c r="K9" s="1" t="s">
        <v>118</v>
      </c>
    </row>
    <row r="10" spans="2:11" x14ac:dyDescent="0.35">
      <c r="B10" s="5"/>
      <c r="C10" s="27" t="s">
        <v>25</v>
      </c>
      <c r="D10" s="23">
        <v>75</v>
      </c>
      <c r="E10" s="69"/>
      <c r="F10" s="48">
        <f t="shared" si="0"/>
        <v>0</v>
      </c>
      <c r="G10" s="6"/>
      <c r="H10" s="6"/>
      <c r="I10" s="7"/>
      <c r="K10" s="1" t="s">
        <v>119</v>
      </c>
    </row>
    <row r="11" spans="2:11" x14ac:dyDescent="0.35">
      <c r="B11" s="5"/>
      <c r="C11" s="21" t="s">
        <v>26</v>
      </c>
      <c r="D11" s="31">
        <v>10</v>
      </c>
      <c r="E11" s="68"/>
      <c r="F11" s="47">
        <f t="shared" si="0"/>
        <v>0</v>
      </c>
      <c r="G11" s="6"/>
      <c r="H11" s="6"/>
      <c r="I11" s="7"/>
    </row>
    <row r="12" spans="2:11" x14ac:dyDescent="0.35">
      <c r="B12" s="5"/>
      <c r="C12" s="27" t="s">
        <v>79</v>
      </c>
      <c r="D12" s="23">
        <v>7.5</v>
      </c>
      <c r="E12" s="69"/>
      <c r="F12" s="48">
        <f t="shared" si="0"/>
        <v>0</v>
      </c>
      <c r="G12" s="6"/>
      <c r="H12" s="6"/>
      <c r="I12" s="7"/>
    </row>
    <row r="13" spans="2:11" x14ac:dyDescent="0.35">
      <c r="B13" s="5"/>
      <c r="C13" s="20" t="s">
        <v>73</v>
      </c>
      <c r="D13" s="30">
        <v>20</v>
      </c>
      <c r="E13" s="68"/>
      <c r="F13" s="47">
        <f t="shared" si="0"/>
        <v>0</v>
      </c>
      <c r="G13" s="6"/>
      <c r="H13" s="6"/>
      <c r="I13" s="7"/>
    </row>
    <row r="14" spans="2:11" x14ac:dyDescent="0.35">
      <c r="B14" s="5"/>
      <c r="C14" s="27" t="s">
        <v>27</v>
      </c>
      <c r="D14" s="23">
        <v>10</v>
      </c>
      <c r="E14" s="69"/>
      <c r="F14" s="48">
        <f t="shared" si="0"/>
        <v>0</v>
      </c>
      <c r="G14" s="6"/>
      <c r="H14" s="6"/>
      <c r="I14" s="7"/>
    </row>
    <row r="15" spans="2:11" x14ac:dyDescent="0.35">
      <c r="B15" s="5"/>
      <c r="C15" s="20" t="s">
        <v>61</v>
      </c>
      <c r="D15" s="30">
        <v>1</v>
      </c>
      <c r="E15" s="68"/>
      <c r="F15" s="47">
        <f t="shared" si="0"/>
        <v>0</v>
      </c>
      <c r="G15" s="6"/>
      <c r="H15" s="6"/>
      <c r="I15" s="7"/>
    </row>
    <row r="16" spans="2:11" x14ac:dyDescent="0.35">
      <c r="B16" s="5"/>
      <c r="C16" s="27" t="s">
        <v>28</v>
      </c>
      <c r="D16" s="23">
        <v>8</v>
      </c>
      <c r="E16" s="69"/>
      <c r="F16" s="48">
        <f t="shared" si="0"/>
        <v>0</v>
      </c>
      <c r="G16" s="6"/>
      <c r="H16" s="6"/>
      <c r="I16" s="7"/>
    </row>
    <row r="17" spans="2:9" x14ac:dyDescent="0.35">
      <c r="B17" s="5"/>
      <c r="C17" s="20" t="s">
        <v>77</v>
      </c>
      <c r="D17" s="30">
        <v>50</v>
      </c>
      <c r="E17" s="68"/>
      <c r="F17" s="47">
        <f t="shared" si="0"/>
        <v>0</v>
      </c>
      <c r="G17" s="6"/>
      <c r="H17" s="6"/>
      <c r="I17" s="7"/>
    </row>
    <row r="18" spans="2:9" x14ac:dyDescent="0.35">
      <c r="B18" s="5"/>
      <c r="C18" s="27" t="s">
        <v>71</v>
      </c>
      <c r="D18" s="23">
        <v>19</v>
      </c>
      <c r="E18" s="69"/>
      <c r="F18" s="48">
        <f t="shared" si="0"/>
        <v>0</v>
      </c>
      <c r="G18" s="6"/>
      <c r="H18" s="6"/>
      <c r="I18" s="7"/>
    </row>
    <row r="19" spans="2:9" x14ac:dyDescent="0.35">
      <c r="B19" s="5"/>
      <c r="C19" s="20" t="s">
        <v>29</v>
      </c>
      <c r="D19" s="30">
        <v>37.5</v>
      </c>
      <c r="E19" s="68"/>
      <c r="F19" s="47">
        <f t="shared" si="0"/>
        <v>0</v>
      </c>
      <c r="G19" s="6"/>
      <c r="H19" s="6"/>
      <c r="I19" s="7"/>
    </row>
    <row r="20" spans="2:9" x14ac:dyDescent="0.35">
      <c r="B20" s="5"/>
      <c r="C20" s="27" t="s">
        <v>94</v>
      </c>
      <c r="D20" s="23">
        <v>25</v>
      </c>
      <c r="E20" s="69"/>
      <c r="F20" s="48">
        <f t="shared" si="0"/>
        <v>0</v>
      </c>
      <c r="G20" s="6"/>
      <c r="H20" s="6"/>
      <c r="I20" s="7"/>
    </row>
    <row r="21" spans="2:9" x14ac:dyDescent="0.35">
      <c r="B21" s="5"/>
      <c r="C21" s="20" t="s">
        <v>85</v>
      </c>
      <c r="D21" s="30">
        <v>0.45</v>
      </c>
      <c r="E21" s="68"/>
      <c r="F21" s="47">
        <f t="shared" si="0"/>
        <v>0</v>
      </c>
      <c r="G21" s="6"/>
      <c r="H21" s="6"/>
      <c r="I21" s="7"/>
    </row>
    <row r="22" spans="2:9" x14ac:dyDescent="0.35">
      <c r="B22" s="5"/>
      <c r="C22" s="27" t="s">
        <v>30</v>
      </c>
      <c r="D22" s="23">
        <v>240</v>
      </c>
      <c r="E22" s="69"/>
      <c r="F22" s="48">
        <f t="shared" si="0"/>
        <v>0</v>
      </c>
      <c r="G22" s="6"/>
      <c r="H22" s="6"/>
      <c r="I22" s="7"/>
    </row>
    <row r="23" spans="2:9" x14ac:dyDescent="0.35">
      <c r="B23" s="5"/>
      <c r="C23" s="20" t="s">
        <v>31</v>
      </c>
      <c r="D23" s="30">
        <v>4</v>
      </c>
      <c r="E23" s="68"/>
      <c r="F23" s="47">
        <f t="shared" si="0"/>
        <v>0</v>
      </c>
      <c r="G23" s="6"/>
      <c r="H23" s="6"/>
      <c r="I23" s="7"/>
    </row>
    <row r="24" spans="2:9" x14ac:dyDescent="0.35">
      <c r="B24" s="5"/>
      <c r="C24" s="27" t="s">
        <v>32</v>
      </c>
      <c r="D24" s="23">
        <v>10</v>
      </c>
      <c r="E24" s="69"/>
      <c r="F24" s="48">
        <f t="shared" si="0"/>
        <v>0</v>
      </c>
      <c r="G24" s="6"/>
      <c r="H24" s="6"/>
      <c r="I24" s="7"/>
    </row>
    <row r="25" spans="2:9" x14ac:dyDescent="0.35">
      <c r="B25" s="5"/>
      <c r="C25" s="20" t="s">
        <v>63</v>
      </c>
      <c r="D25" s="30">
        <v>50</v>
      </c>
      <c r="E25" s="68"/>
      <c r="F25" s="47">
        <f t="shared" si="0"/>
        <v>0</v>
      </c>
      <c r="G25" s="6"/>
      <c r="H25" s="6"/>
      <c r="I25" s="7"/>
    </row>
    <row r="26" spans="2:9" x14ac:dyDescent="0.35">
      <c r="B26" s="5"/>
      <c r="C26" s="27" t="s">
        <v>88</v>
      </c>
      <c r="D26" s="23">
        <v>600</v>
      </c>
      <c r="E26" s="69"/>
      <c r="F26" s="48">
        <f t="shared" si="0"/>
        <v>0</v>
      </c>
      <c r="G26" s="6"/>
      <c r="H26" s="6"/>
      <c r="I26" s="7"/>
    </row>
    <row r="27" spans="2:9" x14ac:dyDescent="0.35">
      <c r="B27" s="5"/>
      <c r="C27" s="20" t="s">
        <v>72</v>
      </c>
      <c r="D27" s="30">
        <v>2500</v>
      </c>
      <c r="E27" s="68"/>
      <c r="F27" s="47">
        <f t="shared" si="0"/>
        <v>0</v>
      </c>
      <c r="G27" s="6"/>
      <c r="H27" s="6"/>
      <c r="I27" s="7"/>
    </row>
    <row r="28" spans="2:9" x14ac:dyDescent="0.35">
      <c r="B28" s="5"/>
      <c r="C28" s="27" t="s">
        <v>33</v>
      </c>
      <c r="D28" s="23">
        <v>5</v>
      </c>
      <c r="E28" s="69"/>
      <c r="F28" s="48">
        <f t="shared" si="0"/>
        <v>0</v>
      </c>
      <c r="G28" s="6"/>
      <c r="H28" s="6"/>
      <c r="I28" s="7"/>
    </row>
    <row r="29" spans="2:9" x14ac:dyDescent="0.35">
      <c r="B29" s="5"/>
      <c r="C29" s="20" t="s">
        <v>34</v>
      </c>
      <c r="D29" s="30">
        <v>15</v>
      </c>
      <c r="E29" s="68"/>
      <c r="F29" s="47">
        <f t="shared" si="0"/>
        <v>0</v>
      </c>
      <c r="G29" s="6"/>
      <c r="H29" s="6"/>
      <c r="I29" s="7"/>
    </row>
    <row r="30" spans="2:9" x14ac:dyDescent="0.35">
      <c r="B30" s="5"/>
      <c r="C30" s="27" t="s">
        <v>35</v>
      </c>
      <c r="D30" s="23">
        <v>40</v>
      </c>
      <c r="E30" s="69"/>
      <c r="F30" s="48">
        <f t="shared" si="0"/>
        <v>0</v>
      </c>
      <c r="G30" s="6"/>
      <c r="H30" s="6"/>
      <c r="I30" s="7"/>
    </row>
    <row r="31" spans="2:9" x14ac:dyDescent="0.35">
      <c r="B31" s="5"/>
      <c r="C31" s="20" t="s">
        <v>87</v>
      </c>
      <c r="D31" s="30">
        <v>3</v>
      </c>
      <c r="E31" s="68"/>
      <c r="F31" s="47">
        <f t="shared" si="0"/>
        <v>0</v>
      </c>
      <c r="G31" s="6"/>
      <c r="H31" s="6"/>
      <c r="I31" s="7"/>
    </row>
    <row r="32" spans="2:9" x14ac:dyDescent="0.35">
      <c r="B32" s="5"/>
      <c r="C32" s="27" t="s">
        <v>90</v>
      </c>
      <c r="D32" s="23">
        <v>100</v>
      </c>
      <c r="E32" s="69"/>
      <c r="F32" s="48">
        <f t="shared" si="0"/>
        <v>0</v>
      </c>
      <c r="G32" s="6"/>
      <c r="H32" s="6"/>
      <c r="I32" s="7"/>
    </row>
    <row r="33" spans="2:9" x14ac:dyDescent="0.35">
      <c r="B33" s="5"/>
      <c r="C33" s="20" t="s">
        <v>59</v>
      </c>
      <c r="D33" s="30">
        <v>25</v>
      </c>
      <c r="E33" s="68"/>
      <c r="F33" s="47">
        <f t="shared" si="0"/>
        <v>0</v>
      </c>
      <c r="G33" s="6"/>
      <c r="H33" s="6"/>
      <c r="I33" s="7"/>
    </row>
    <row r="34" spans="2:9" x14ac:dyDescent="0.35">
      <c r="B34" s="5"/>
      <c r="C34" s="27" t="s">
        <v>60</v>
      </c>
      <c r="D34" s="23">
        <v>2.5</v>
      </c>
      <c r="E34" s="69"/>
      <c r="F34" s="48">
        <f t="shared" si="0"/>
        <v>0</v>
      </c>
      <c r="G34" s="6"/>
      <c r="H34" s="6"/>
      <c r="I34" s="7"/>
    </row>
    <row r="35" spans="2:9" x14ac:dyDescent="0.35">
      <c r="B35" s="5"/>
      <c r="C35" s="20" t="s">
        <v>36</v>
      </c>
      <c r="D35" s="30">
        <v>150</v>
      </c>
      <c r="E35" s="68"/>
      <c r="F35" s="47">
        <f t="shared" si="0"/>
        <v>0</v>
      </c>
      <c r="G35" s="6"/>
      <c r="H35" s="6"/>
      <c r="I35" s="7"/>
    </row>
    <row r="36" spans="2:9" x14ac:dyDescent="0.35">
      <c r="B36" s="5"/>
      <c r="C36" s="27" t="s">
        <v>65</v>
      </c>
      <c r="D36" s="23">
        <v>5</v>
      </c>
      <c r="E36" s="69"/>
      <c r="F36" s="48">
        <f t="shared" si="0"/>
        <v>0</v>
      </c>
      <c r="G36" s="6"/>
      <c r="H36" s="6"/>
      <c r="I36" s="7"/>
    </row>
    <row r="37" spans="2:9" x14ac:dyDescent="0.35">
      <c r="B37" s="5"/>
      <c r="C37" s="20" t="s">
        <v>76</v>
      </c>
      <c r="D37" s="30">
        <v>600</v>
      </c>
      <c r="E37" s="68"/>
      <c r="F37" s="47">
        <f t="shared" si="0"/>
        <v>0</v>
      </c>
      <c r="G37" s="6"/>
      <c r="H37" s="6"/>
      <c r="I37" s="7"/>
    </row>
    <row r="38" spans="2:9" x14ac:dyDescent="0.35">
      <c r="B38" s="5"/>
      <c r="C38" s="27" t="s">
        <v>37</v>
      </c>
      <c r="D38" s="23">
        <v>4</v>
      </c>
      <c r="E38" s="69"/>
      <c r="F38" s="48">
        <f t="shared" si="0"/>
        <v>0</v>
      </c>
      <c r="G38" s="6"/>
      <c r="H38" s="6"/>
      <c r="I38" s="7"/>
    </row>
    <row r="39" spans="2:9" x14ac:dyDescent="0.35">
      <c r="B39" s="5"/>
      <c r="C39" s="20" t="s">
        <v>38</v>
      </c>
      <c r="D39" s="30">
        <v>10</v>
      </c>
      <c r="E39" s="68"/>
      <c r="F39" s="47">
        <f t="shared" si="0"/>
        <v>0</v>
      </c>
      <c r="G39" s="6"/>
      <c r="H39" s="6"/>
      <c r="I39" s="7"/>
    </row>
    <row r="40" spans="2:9" x14ac:dyDescent="0.35">
      <c r="B40" s="5"/>
      <c r="C40" s="27" t="s">
        <v>78</v>
      </c>
      <c r="D40" s="23">
        <v>10</v>
      </c>
      <c r="E40" s="69"/>
      <c r="F40" s="48">
        <f t="shared" si="0"/>
        <v>0</v>
      </c>
      <c r="G40" s="6"/>
      <c r="H40" s="6"/>
      <c r="I40" s="7"/>
    </row>
    <row r="41" spans="2:9" x14ac:dyDescent="0.35">
      <c r="B41" s="5"/>
      <c r="C41" s="20" t="s">
        <v>39</v>
      </c>
      <c r="D41" s="30">
        <v>50</v>
      </c>
      <c r="E41" s="68"/>
      <c r="F41" s="47">
        <f t="shared" si="0"/>
        <v>0</v>
      </c>
      <c r="G41" s="6"/>
      <c r="H41" s="6"/>
      <c r="I41" s="7"/>
    </row>
    <row r="42" spans="2:9" x14ac:dyDescent="0.35">
      <c r="B42" s="5"/>
      <c r="C42" s="27" t="s">
        <v>40</v>
      </c>
      <c r="D42" s="23">
        <v>10</v>
      </c>
      <c r="E42" s="69"/>
      <c r="F42" s="48">
        <f t="shared" si="0"/>
        <v>0</v>
      </c>
      <c r="G42" s="6"/>
      <c r="H42" s="6"/>
      <c r="I42" s="7"/>
    </row>
    <row r="43" spans="2:9" x14ac:dyDescent="0.35">
      <c r="B43" s="5"/>
      <c r="C43" s="20" t="s">
        <v>95</v>
      </c>
      <c r="D43" s="30">
        <v>1000</v>
      </c>
      <c r="E43" s="68"/>
      <c r="F43" s="47">
        <f t="shared" si="0"/>
        <v>0</v>
      </c>
      <c r="G43" s="6"/>
      <c r="H43" s="6"/>
      <c r="I43" s="7"/>
    </row>
    <row r="44" spans="2:9" x14ac:dyDescent="0.35">
      <c r="B44" s="5"/>
      <c r="C44" s="27" t="s">
        <v>62</v>
      </c>
      <c r="D44" s="23">
        <v>5</v>
      </c>
      <c r="E44" s="69"/>
      <c r="F44" s="48">
        <f t="shared" si="0"/>
        <v>0</v>
      </c>
      <c r="G44" s="6"/>
      <c r="H44" s="6"/>
      <c r="I44" s="7"/>
    </row>
    <row r="45" spans="2:9" x14ac:dyDescent="0.35">
      <c r="B45" s="5"/>
      <c r="C45" s="20" t="s">
        <v>41</v>
      </c>
      <c r="D45" s="30">
        <v>150</v>
      </c>
      <c r="E45" s="68"/>
      <c r="F45" s="47">
        <f t="shared" si="0"/>
        <v>0</v>
      </c>
      <c r="G45" s="6"/>
      <c r="H45" s="6"/>
      <c r="I45" s="7"/>
    </row>
    <row r="46" spans="2:9" x14ac:dyDescent="0.35">
      <c r="B46" s="5"/>
      <c r="C46" s="27" t="s">
        <v>91</v>
      </c>
      <c r="D46" s="23">
        <v>20</v>
      </c>
      <c r="E46" s="69"/>
      <c r="F46" s="48">
        <f t="shared" si="0"/>
        <v>0</v>
      </c>
      <c r="G46" s="6"/>
      <c r="H46" s="6"/>
      <c r="I46" s="7"/>
    </row>
    <row r="47" spans="2:9" x14ac:dyDescent="0.35">
      <c r="B47" s="5"/>
      <c r="C47" s="20" t="s">
        <v>81</v>
      </c>
      <c r="D47" s="30">
        <v>15</v>
      </c>
      <c r="E47" s="68"/>
      <c r="F47" s="47">
        <f t="shared" si="0"/>
        <v>0</v>
      </c>
      <c r="G47" s="6"/>
      <c r="H47" s="6"/>
      <c r="I47" s="7"/>
    </row>
    <row r="48" spans="2:9" x14ac:dyDescent="0.35">
      <c r="B48" s="5"/>
      <c r="C48" s="27" t="s">
        <v>42</v>
      </c>
      <c r="D48" s="23">
        <v>0.3</v>
      </c>
      <c r="E48" s="69"/>
      <c r="F48" s="48">
        <f t="shared" si="0"/>
        <v>0</v>
      </c>
      <c r="G48" s="6"/>
      <c r="H48" s="6"/>
      <c r="I48" s="7"/>
    </row>
    <row r="49" spans="2:9" x14ac:dyDescent="0.35">
      <c r="B49" s="5"/>
      <c r="C49" s="20" t="s">
        <v>67</v>
      </c>
      <c r="D49" s="30">
        <v>160</v>
      </c>
      <c r="E49" s="68"/>
      <c r="F49" s="47">
        <f t="shared" si="0"/>
        <v>0</v>
      </c>
      <c r="G49" s="6"/>
      <c r="H49" s="6"/>
      <c r="I49" s="7"/>
    </row>
    <row r="50" spans="2:9" x14ac:dyDescent="0.35">
      <c r="B50" s="5"/>
      <c r="C50" s="27" t="s">
        <v>43</v>
      </c>
      <c r="D50" s="23">
        <v>5</v>
      </c>
      <c r="E50" s="69"/>
      <c r="F50" s="48">
        <f t="shared" si="0"/>
        <v>0</v>
      </c>
      <c r="G50" s="6"/>
      <c r="H50" s="6"/>
      <c r="I50" s="7"/>
    </row>
    <row r="51" spans="2:9" x14ac:dyDescent="0.35">
      <c r="B51" s="5"/>
      <c r="C51" s="20" t="s">
        <v>64</v>
      </c>
      <c r="D51" s="30">
        <v>90</v>
      </c>
      <c r="E51" s="68"/>
      <c r="F51" s="47">
        <f t="shared" si="0"/>
        <v>0</v>
      </c>
      <c r="G51" s="6"/>
      <c r="H51" s="6"/>
      <c r="I51" s="7"/>
    </row>
    <row r="52" spans="2:9" x14ac:dyDescent="0.35">
      <c r="B52" s="5"/>
      <c r="C52" s="27" t="s">
        <v>44</v>
      </c>
      <c r="D52" s="23">
        <v>30</v>
      </c>
      <c r="E52" s="69"/>
      <c r="F52" s="48">
        <f t="shared" si="0"/>
        <v>0</v>
      </c>
      <c r="G52" s="6"/>
      <c r="H52" s="6"/>
      <c r="I52" s="7"/>
    </row>
    <row r="53" spans="2:9" x14ac:dyDescent="0.35">
      <c r="B53" s="5"/>
      <c r="C53" s="20" t="s">
        <v>45</v>
      </c>
      <c r="D53" s="30">
        <v>20</v>
      </c>
      <c r="E53" s="68"/>
      <c r="F53" s="47">
        <f t="shared" si="0"/>
        <v>0</v>
      </c>
      <c r="G53" s="6"/>
      <c r="H53" s="6"/>
      <c r="I53" s="7"/>
    </row>
    <row r="54" spans="2:9" x14ac:dyDescent="0.35">
      <c r="B54" s="5"/>
      <c r="C54" s="28" t="s">
        <v>46</v>
      </c>
      <c r="D54" s="24">
        <v>20</v>
      </c>
      <c r="E54" s="69"/>
      <c r="F54" s="48">
        <f t="shared" si="0"/>
        <v>0</v>
      </c>
      <c r="G54" s="6"/>
      <c r="H54" s="6"/>
      <c r="I54" s="7"/>
    </row>
    <row r="55" spans="2:9" x14ac:dyDescent="0.35">
      <c r="B55" s="5"/>
      <c r="C55" s="20" t="s">
        <v>47</v>
      </c>
      <c r="D55" s="30">
        <v>20</v>
      </c>
      <c r="E55" s="68"/>
      <c r="F55" s="47">
        <f t="shared" si="0"/>
        <v>0</v>
      </c>
      <c r="G55" s="6"/>
      <c r="H55" s="6"/>
      <c r="I55" s="7"/>
    </row>
    <row r="56" spans="2:9" x14ac:dyDescent="0.35">
      <c r="B56" s="5"/>
      <c r="C56" s="27" t="s">
        <v>69</v>
      </c>
      <c r="D56" s="23">
        <v>40</v>
      </c>
      <c r="E56" s="69"/>
      <c r="F56" s="48">
        <f t="shared" si="0"/>
        <v>0</v>
      </c>
      <c r="G56" s="6"/>
      <c r="H56" s="6"/>
      <c r="I56" s="7"/>
    </row>
    <row r="57" spans="2:9" x14ac:dyDescent="0.35">
      <c r="B57" s="5"/>
      <c r="C57" s="20" t="s">
        <v>84</v>
      </c>
      <c r="D57" s="30">
        <v>4</v>
      </c>
      <c r="E57" s="68"/>
      <c r="F57" s="47">
        <f t="shared" si="0"/>
        <v>0</v>
      </c>
      <c r="G57" s="6"/>
      <c r="H57" s="6"/>
      <c r="I57" s="7"/>
    </row>
    <row r="58" spans="2:9" x14ac:dyDescent="0.35">
      <c r="B58" s="5"/>
      <c r="C58" s="27" t="s">
        <v>70</v>
      </c>
      <c r="D58" s="23">
        <v>15</v>
      </c>
      <c r="E58" s="69"/>
      <c r="F58" s="48">
        <f t="shared" si="0"/>
        <v>0</v>
      </c>
      <c r="G58" s="6"/>
      <c r="H58" s="6"/>
      <c r="I58" s="7"/>
    </row>
    <row r="59" spans="2:9" x14ac:dyDescent="0.35">
      <c r="B59" s="5"/>
      <c r="C59" s="20" t="s">
        <v>92</v>
      </c>
      <c r="D59" s="30">
        <v>400</v>
      </c>
      <c r="E59" s="68"/>
      <c r="F59" s="47">
        <f t="shared" si="0"/>
        <v>0</v>
      </c>
      <c r="G59" s="6"/>
      <c r="H59" s="6"/>
      <c r="I59" s="7"/>
    </row>
    <row r="60" spans="2:9" x14ac:dyDescent="0.35">
      <c r="B60" s="5"/>
      <c r="C60" s="27" t="s">
        <v>48</v>
      </c>
      <c r="D60" s="23">
        <v>5</v>
      </c>
      <c r="E60" s="69"/>
      <c r="F60" s="48">
        <f t="shared" si="0"/>
        <v>0</v>
      </c>
      <c r="G60" s="6"/>
      <c r="H60" s="6"/>
      <c r="I60" s="7"/>
    </row>
    <row r="61" spans="2:9" x14ac:dyDescent="0.35">
      <c r="B61" s="5"/>
      <c r="C61" s="20" t="s">
        <v>49</v>
      </c>
      <c r="D61" s="30">
        <v>160</v>
      </c>
      <c r="E61" s="68"/>
      <c r="F61" s="47">
        <f t="shared" si="0"/>
        <v>0</v>
      </c>
      <c r="G61" s="6"/>
      <c r="H61" s="6"/>
      <c r="I61" s="7"/>
    </row>
    <row r="62" spans="2:9" x14ac:dyDescent="0.35">
      <c r="B62" s="5"/>
      <c r="C62" s="27" t="s">
        <v>80</v>
      </c>
      <c r="D62" s="23">
        <v>15</v>
      </c>
      <c r="E62" s="69"/>
      <c r="F62" s="48">
        <f t="shared" si="0"/>
        <v>0</v>
      </c>
      <c r="G62" s="6"/>
      <c r="H62" s="6"/>
      <c r="I62" s="7"/>
    </row>
    <row r="63" spans="2:9" x14ac:dyDescent="0.35">
      <c r="B63" s="5"/>
      <c r="C63" s="20" t="s">
        <v>50</v>
      </c>
      <c r="D63" s="30">
        <v>2.5</v>
      </c>
      <c r="E63" s="68"/>
      <c r="F63" s="47">
        <f t="shared" si="0"/>
        <v>0</v>
      </c>
      <c r="G63" s="6"/>
      <c r="H63" s="6"/>
      <c r="I63" s="7"/>
    </row>
    <row r="64" spans="2:9" x14ac:dyDescent="0.35">
      <c r="B64" s="5"/>
      <c r="C64" s="27" t="s">
        <v>86</v>
      </c>
      <c r="D64" s="23">
        <v>0.5</v>
      </c>
      <c r="E64" s="69"/>
      <c r="F64" s="48">
        <f t="shared" si="0"/>
        <v>0</v>
      </c>
      <c r="G64" s="6"/>
      <c r="H64" s="6"/>
      <c r="I64" s="7"/>
    </row>
    <row r="65" spans="2:9" x14ac:dyDescent="0.35">
      <c r="B65" s="5"/>
      <c r="C65" s="20" t="s">
        <v>75</v>
      </c>
      <c r="D65" s="30">
        <v>160</v>
      </c>
      <c r="E65" s="68"/>
      <c r="F65" s="47">
        <f t="shared" si="0"/>
        <v>0</v>
      </c>
      <c r="G65" s="6"/>
      <c r="H65" s="6"/>
      <c r="I65" s="7"/>
    </row>
    <row r="66" spans="2:9" x14ac:dyDescent="0.35">
      <c r="B66" s="5"/>
      <c r="C66" s="27" t="s">
        <v>82</v>
      </c>
      <c r="D66" s="23">
        <v>6</v>
      </c>
      <c r="E66" s="69"/>
      <c r="F66" s="48">
        <f t="shared" si="0"/>
        <v>0</v>
      </c>
      <c r="G66" s="6"/>
      <c r="H66" s="6"/>
      <c r="I66" s="7"/>
    </row>
    <row r="67" spans="2:9" x14ac:dyDescent="0.35">
      <c r="B67" s="5"/>
      <c r="C67" s="20" t="s">
        <v>51</v>
      </c>
      <c r="D67" s="30">
        <v>75</v>
      </c>
      <c r="E67" s="68"/>
      <c r="F67" s="47">
        <f t="shared" si="0"/>
        <v>0</v>
      </c>
      <c r="G67" s="6"/>
      <c r="H67" s="6"/>
      <c r="I67" s="7"/>
    </row>
    <row r="68" spans="2:9" x14ac:dyDescent="0.35">
      <c r="B68" s="5"/>
      <c r="C68" s="27" t="s">
        <v>52</v>
      </c>
      <c r="D68" s="23">
        <v>40</v>
      </c>
      <c r="E68" s="69"/>
      <c r="F68" s="48">
        <f t="shared" si="0"/>
        <v>0</v>
      </c>
      <c r="G68" s="6"/>
      <c r="H68" s="6"/>
      <c r="I68" s="7"/>
    </row>
    <row r="69" spans="2:9" x14ac:dyDescent="0.35">
      <c r="B69" s="5"/>
      <c r="C69" s="20" t="s">
        <v>66</v>
      </c>
      <c r="D69" s="30">
        <v>5</v>
      </c>
      <c r="E69" s="68"/>
      <c r="F69" s="47">
        <f t="shared" si="0"/>
        <v>0</v>
      </c>
      <c r="G69" s="6"/>
      <c r="H69" s="6"/>
      <c r="I69" s="7"/>
    </row>
    <row r="70" spans="2:9" x14ac:dyDescent="0.35">
      <c r="B70" s="5"/>
      <c r="C70" s="27" t="s">
        <v>68</v>
      </c>
      <c r="D70" s="23">
        <v>20</v>
      </c>
      <c r="E70" s="69"/>
      <c r="F70" s="48">
        <f t="shared" si="0"/>
        <v>0</v>
      </c>
      <c r="G70" s="6"/>
      <c r="H70" s="6"/>
      <c r="I70" s="7"/>
    </row>
    <row r="71" spans="2:9" x14ac:dyDescent="0.35">
      <c r="B71" s="5"/>
      <c r="C71" s="20" t="s">
        <v>53</v>
      </c>
      <c r="D71" s="30">
        <v>15</v>
      </c>
      <c r="E71" s="68"/>
      <c r="F71" s="47">
        <f t="shared" si="0"/>
        <v>0</v>
      </c>
      <c r="G71" s="6"/>
      <c r="H71" s="6"/>
      <c r="I71" s="7"/>
    </row>
    <row r="72" spans="2:9" x14ac:dyDescent="0.35">
      <c r="B72" s="5"/>
      <c r="C72" s="27" t="s">
        <v>83</v>
      </c>
      <c r="D72" s="23">
        <v>2</v>
      </c>
      <c r="E72" s="69"/>
      <c r="F72" s="48">
        <f t="shared" si="0"/>
        <v>0</v>
      </c>
      <c r="G72" s="6"/>
      <c r="H72" s="6"/>
      <c r="I72" s="7"/>
    </row>
    <row r="73" spans="2:9" x14ac:dyDescent="0.35">
      <c r="B73" s="5"/>
      <c r="C73" s="20" t="s">
        <v>96</v>
      </c>
      <c r="D73" s="30">
        <v>100</v>
      </c>
      <c r="E73" s="68"/>
      <c r="F73" s="47">
        <f t="shared" ref="F73:F74" si="1">E73/D73</f>
        <v>0</v>
      </c>
      <c r="G73" s="6"/>
      <c r="H73" s="6"/>
      <c r="I73" s="7"/>
    </row>
    <row r="74" spans="2:9" x14ac:dyDescent="0.35">
      <c r="B74" s="5"/>
      <c r="C74" s="27" t="s">
        <v>54</v>
      </c>
      <c r="D74" s="23">
        <v>120</v>
      </c>
      <c r="E74" s="69"/>
      <c r="F74" s="48">
        <f t="shared" si="1"/>
        <v>0</v>
      </c>
      <c r="G74" s="6"/>
      <c r="H74" s="6"/>
      <c r="I74" s="7"/>
    </row>
    <row r="75" spans="2:9" x14ac:dyDescent="0.35">
      <c r="B75" s="5"/>
      <c r="C75" s="20" t="s">
        <v>55</v>
      </c>
      <c r="D75" s="30">
        <v>80</v>
      </c>
      <c r="E75" s="68"/>
      <c r="F75" s="47">
        <f>E75/D75</f>
        <v>0</v>
      </c>
      <c r="G75" s="6"/>
      <c r="H75" s="6"/>
      <c r="I75" s="7"/>
    </row>
    <row r="76" spans="2:9" ht="16" thickBot="1" x14ac:dyDescent="0.4">
      <c r="B76" s="5"/>
      <c r="C76" s="29" t="s">
        <v>56</v>
      </c>
      <c r="D76" s="25">
        <v>240</v>
      </c>
      <c r="E76" s="70"/>
      <c r="F76" s="49">
        <f>E76/D76</f>
        <v>0</v>
      </c>
      <c r="G76" s="6"/>
      <c r="H76" s="6"/>
      <c r="I76" s="7"/>
    </row>
    <row r="77" spans="2:9" ht="16" thickBot="1" x14ac:dyDescent="0.4">
      <c r="B77" s="8"/>
      <c r="C77" s="9"/>
      <c r="D77" s="9"/>
      <c r="E77" s="14"/>
      <c r="F77" s="14"/>
      <c r="G77" s="9"/>
      <c r="H77" s="9"/>
      <c r="I77" s="10"/>
    </row>
  </sheetData>
  <sheetProtection algorithmName="SHA-512" hashValue="WryNklvFoX2zJM/aJbUXAvt1NWf12lIqGr3uWlrzqRWCgEjL3xmCaT2YdbQFwF7AzhD7LusAahJhefiyRktSvw==" saltValue="2JETBxOd7Id8Hv6GHgtiug==" spinCount="100000" sheet="1" objects="1" scenarios="1"/>
  <sortState ref="C6:F80">
    <sortCondition ref="C6:C80"/>
  </sortState>
  <hyperlinks>
    <hyperlink ref="K6" r:id="rId1" xr:uid="{00000000-0004-0000-0000-000000000000}"/>
  </hyperlinks>
  <pageMargins left="0.75" right="0.75" top="1" bottom="1" header="0.5" footer="0.5"/>
  <pageSetup paperSize="9" orientation="portrait" horizontalDpi="4294967292" vertic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5" name="Pulsante 3">
              <controlPr defaultSize="0" print="0" autoFill="0" autoPict="0" macro="[0]!Copia_DDD">
                <anchor moveWithCells="1" sizeWithCells="1">
                  <from>
                    <xdr:col>7</xdr:col>
                    <xdr:colOff>12700</xdr:colOff>
                    <xdr:row>7</xdr:row>
                    <xdr:rowOff>101600</xdr:rowOff>
                  </from>
                  <to>
                    <xdr:col>7</xdr:col>
                    <xdr:colOff>787400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Z35"/>
  <sheetViews>
    <sheetView topLeftCell="A13" zoomScale="83" zoomScaleNormal="110" zoomScalePageLayoutView="80" workbookViewId="0">
      <selection activeCell="G24" sqref="G24:G26"/>
    </sheetView>
  </sheetViews>
  <sheetFormatPr defaultColWidth="10.83203125" defaultRowHeight="15.5" x14ac:dyDescent="0.35"/>
  <cols>
    <col min="1" max="1" width="4.33203125" style="1" customWidth="1"/>
    <col min="2" max="2" width="3.1640625" style="1" customWidth="1"/>
    <col min="3" max="3" width="26.83203125" style="1" customWidth="1"/>
    <col min="4" max="4" width="10.6640625" style="1" customWidth="1"/>
    <col min="5" max="5" width="10.33203125" style="11" customWidth="1"/>
    <col min="6" max="6" width="4" style="1" customWidth="1"/>
    <col min="7" max="7" width="13" style="1" customWidth="1"/>
    <col min="8" max="8" width="9.1640625" style="1" customWidth="1"/>
    <col min="9" max="9" width="4.5" style="1" customWidth="1"/>
    <col min="10" max="10" width="10.83203125" style="1"/>
    <col min="11" max="11" width="13.5" style="1" customWidth="1"/>
    <col min="12" max="14" width="3.1640625" style="1" customWidth="1"/>
    <col min="15" max="16384" width="10.83203125" style="1"/>
  </cols>
  <sheetData>
    <row r="1" spans="2:26" x14ac:dyDescent="0.35"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</row>
    <row r="2" spans="2:26" ht="21" x14ac:dyDescent="0.5">
      <c r="B2" s="52" t="s">
        <v>120</v>
      </c>
      <c r="M2" s="65"/>
      <c r="N2" s="45"/>
      <c r="O2" s="45"/>
      <c r="P2" s="45"/>
      <c r="Q2" s="45"/>
      <c r="R2" s="45"/>
      <c r="S2" s="45"/>
      <c r="T2" s="65"/>
      <c r="U2" s="65"/>
      <c r="V2" s="65"/>
      <c r="W2" s="65"/>
      <c r="X2" s="65"/>
      <c r="Y2" s="65"/>
      <c r="Z2" s="65"/>
    </row>
    <row r="3" spans="2:26" ht="11" customHeight="1" thickBot="1" x14ac:dyDescent="0.4">
      <c r="M3" s="45"/>
      <c r="N3" s="45"/>
      <c r="O3" s="45"/>
      <c r="P3" s="45"/>
      <c r="Q3" s="45"/>
      <c r="R3" s="45"/>
      <c r="S3" s="45"/>
      <c r="T3" s="65"/>
      <c r="U3" s="65"/>
      <c r="V3" s="65"/>
      <c r="W3" s="65"/>
      <c r="X3" s="65"/>
      <c r="Y3" s="65"/>
      <c r="Z3" s="65"/>
    </row>
    <row r="4" spans="2:26" ht="15" customHeight="1" thickBot="1" x14ac:dyDescent="0.4">
      <c r="B4" s="2"/>
      <c r="C4" s="3"/>
      <c r="D4" s="3"/>
      <c r="E4" s="12"/>
      <c r="F4" s="3"/>
      <c r="G4" s="3"/>
      <c r="H4" s="53"/>
      <c r="I4" s="3"/>
      <c r="J4" s="53">
        <v>-1</v>
      </c>
      <c r="K4" s="3"/>
      <c r="L4" s="4"/>
      <c r="M4" s="45"/>
      <c r="N4" s="45"/>
      <c r="O4" s="45" t="s">
        <v>11</v>
      </c>
      <c r="P4" s="45" t="s">
        <v>21</v>
      </c>
      <c r="Q4" s="45" t="s">
        <v>20</v>
      </c>
      <c r="R4" s="45" t="s">
        <v>19</v>
      </c>
      <c r="S4" s="45"/>
      <c r="T4" s="65"/>
      <c r="U4" s="65"/>
      <c r="V4" s="65"/>
      <c r="W4" s="65"/>
      <c r="X4" s="65"/>
      <c r="Y4" s="65"/>
      <c r="Z4" s="65"/>
    </row>
    <row r="5" spans="2:26" ht="15" customHeight="1" thickBot="1" x14ac:dyDescent="0.4">
      <c r="B5" s="5"/>
      <c r="C5" s="51" t="s">
        <v>122</v>
      </c>
      <c r="D5" s="63" t="s">
        <v>121</v>
      </c>
      <c r="E5" s="64" t="s">
        <v>11</v>
      </c>
      <c r="F5" s="6"/>
      <c r="G5" s="18" t="s">
        <v>130</v>
      </c>
      <c r="H5" s="54" t="s">
        <v>11</v>
      </c>
      <c r="I5" s="6"/>
      <c r="L5" s="7"/>
      <c r="M5" s="45"/>
      <c r="N5" s="45"/>
      <c r="O5" s="45" t="s">
        <v>135</v>
      </c>
      <c r="P5" s="45">
        <v>0</v>
      </c>
      <c r="Q5" s="45">
        <v>100</v>
      </c>
      <c r="R5" s="45">
        <v>0</v>
      </c>
      <c r="S5" s="45"/>
      <c r="T5" s="65"/>
      <c r="U5" s="65"/>
      <c r="V5" s="65"/>
      <c r="W5" s="65"/>
      <c r="X5" s="65"/>
      <c r="Y5" s="65"/>
      <c r="Z5" s="65"/>
    </row>
    <row r="6" spans="2:26" ht="15" customHeight="1" x14ac:dyDescent="0.35">
      <c r="B6" s="5"/>
      <c r="C6" s="39" t="s">
        <v>0</v>
      </c>
      <c r="D6" s="55" t="s">
        <v>97</v>
      </c>
      <c r="E6" s="33" t="s">
        <v>102</v>
      </c>
      <c r="F6" s="6"/>
      <c r="G6" s="87"/>
      <c r="H6" s="104">
        <f>IF(G6&lt;120,7.5,IF(AND(G6&gt;=120,G6&lt;240),3.5,0))</f>
        <v>7.5</v>
      </c>
      <c r="I6" s="6"/>
      <c r="J6" s="78"/>
      <c r="L6" s="7"/>
      <c r="M6" s="45"/>
      <c r="N6" s="45"/>
      <c r="O6" s="45" t="s">
        <v>136</v>
      </c>
      <c r="P6" s="45">
        <v>0</v>
      </c>
      <c r="Q6" s="45">
        <v>88.888888888888886</v>
      </c>
      <c r="R6" s="45">
        <v>11.1111111111111</v>
      </c>
      <c r="S6" s="45"/>
      <c r="T6" s="65"/>
      <c r="U6" s="65"/>
      <c r="V6" s="65"/>
      <c r="W6" s="65"/>
      <c r="X6" s="65"/>
      <c r="Y6" s="65"/>
      <c r="Z6" s="65"/>
    </row>
    <row r="7" spans="2:26" ht="15" customHeight="1" x14ac:dyDescent="0.35">
      <c r="B7" s="5"/>
      <c r="C7" s="40" t="s">
        <v>3</v>
      </c>
      <c r="D7" s="56" t="s">
        <v>98</v>
      </c>
      <c r="E7" s="36" t="s">
        <v>103</v>
      </c>
      <c r="F7" s="6"/>
      <c r="G7" s="96"/>
      <c r="H7" s="105"/>
      <c r="I7" s="6"/>
      <c r="J7" s="78"/>
      <c r="L7" s="7"/>
      <c r="M7" s="45"/>
      <c r="N7" s="45"/>
      <c r="O7" s="45" t="s">
        <v>137</v>
      </c>
      <c r="P7" s="45">
        <v>14.285714285714199</v>
      </c>
      <c r="Q7" s="45">
        <v>78.571428571428498</v>
      </c>
      <c r="R7" s="45">
        <v>7.1428571428571397</v>
      </c>
      <c r="S7" s="45"/>
      <c r="T7" s="65"/>
      <c r="U7" s="65"/>
      <c r="V7" s="65"/>
      <c r="W7" s="65"/>
      <c r="X7" s="65"/>
      <c r="Y7" s="65"/>
      <c r="Z7" s="65"/>
    </row>
    <row r="8" spans="2:26" ht="15" customHeight="1" thickBot="1" x14ac:dyDescent="0.4">
      <c r="B8" s="5"/>
      <c r="C8" s="41"/>
      <c r="D8" s="57" t="s">
        <v>99</v>
      </c>
      <c r="E8" s="34">
        <v>0</v>
      </c>
      <c r="F8" s="6"/>
      <c r="G8" s="88"/>
      <c r="H8" s="106"/>
      <c r="I8" s="6"/>
      <c r="L8" s="7"/>
      <c r="M8" s="45"/>
      <c r="N8" s="45"/>
      <c r="O8" s="45" t="s">
        <v>138</v>
      </c>
      <c r="P8" s="45">
        <v>38.709677419354797</v>
      </c>
      <c r="Q8" s="45">
        <v>58.064516129032199</v>
      </c>
      <c r="R8" s="45">
        <v>3.2258064516128999</v>
      </c>
      <c r="S8" s="45"/>
      <c r="T8" s="65"/>
      <c r="U8" s="65"/>
      <c r="V8" s="65"/>
      <c r="W8" s="65"/>
      <c r="X8" s="65"/>
      <c r="Y8" s="65"/>
      <c r="Z8" s="65"/>
    </row>
    <row r="9" spans="2:26" ht="15" customHeight="1" thickBot="1" x14ac:dyDescent="0.4">
      <c r="B9" s="5"/>
      <c r="D9" s="58"/>
      <c r="E9" s="13"/>
      <c r="F9" s="6"/>
      <c r="G9" s="71"/>
      <c r="H9" s="107"/>
      <c r="I9" s="6"/>
      <c r="J9" s="44" t="s">
        <v>16</v>
      </c>
      <c r="K9" s="44" t="s">
        <v>17</v>
      </c>
      <c r="L9" s="7"/>
      <c r="M9" s="45"/>
      <c r="N9" s="45"/>
      <c r="O9" s="45" t="s">
        <v>139</v>
      </c>
      <c r="P9" s="45">
        <v>12.9032258064516</v>
      </c>
      <c r="Q9" s="45">
        <v>70.967741935483801</v>
      </c>
      <c r="R9" s="45">
        <v>16.129032258064498</v>
      </c>
      <c r="S9" s="45"/>
      <c r="T9" s="65"/>
      <c r="U9" s="65"/>
      <c r="V9" s="65"/>
      <c r="W9" s="65"/>
      <c r="X9" s="65"/>
      <c r="Y9" s="65"/>
      <c r="Z9" s="65"/>
    </row>
    <row r="10" spans="2:26" ht="15" customHeight="1" thickBot="1" x14ac:dyDescent="0.4">
      <c r="B10" s="5"/>
      <c r="C10" s="39" t="s">
        <v>110</v>
      </c>
      <c r="D10" s="55" t="s">
        <v>1</v>
      </c>
      <c r="E10" s="33">
        <v>3</v>
      </c>
      <c r="F10" s="6"/>
      <c r="G10" s="87"/>
      <c r="H10" s="108" t="str">
        <f>IF(G10="F",3,IF(G10="M",0,"Invalid"))</f>
        <v>Invalid</v>
      </c>
      <c r="I10" s="6"/>
      <c r="J10" s="103">
        <v>-1</v>
      </c>
      <c r="K10" s="35" t="s">
        <v>109</v>
      </c>
      <c r="L10" s="7"/>
      <c r="M10" s="45"/>
      <c r="N10" s="45"/>
      <c r="O10" s="45" t="s">
        <v>140</v>
      </c>
      <c r="P10" s="45">
        <v>18.181818181818102</v>
      </c>
      <c r="Q10" s="45">
        <v>67.272727272727195</v>
      </c>
      <c r="R10" s="45">
        <v>14.545454545454501</v>
      </c>
      <c r="S10" s="45"/>
      <c r="T10" s="65"/>
      <c r="U10" s="65"/>
      <c r="V10" s="65"/>
      <c r="W10" s="65"/>
      <c r="X10" s="65"/>
      <c r="Y10" s="65"/>
      <c r="Z10" s="65"/>
    </row>
    <row r="11" spans="2:26" ht="15" customHeight="1" thickBot="1" x14ac:dyDescent="0.4">
      <c r="B11" s="5"/>
      <c r="C11" s="41"/>
      <c r="D11" s="59" t="s">
        <v>2</v>
      </c>
      <c r="E11" s="38">
        <v>0</v>
      </c>
      <c r="F11" s="6"/>
      <c r="G11" s="88"/>
      <c r="H11" s="106"/>
      <c r="I11" s="6"/>
      <c r="J11" s="50"/>
      <c r="K11" s="6"/>
      <c r="L11" s="7"/>
      <c r="M11" s="45"/>
      <c r="N11" s="45"/>
      <c r="O11" s="45" t="s">
        <v>141</v>
      </c>
      <c r="P11" s="45">
        <v>29.090909090909001</v>
      </c>
      <c r="Q11" s="45">
        <v>50.909090909090899</v>
      </c>
      <c r="R11" s="45">
        <v>20</v>
      </c>
      <c r="S11" s="45"/>
      <c r="T11" s="65"/>
      <c r="U11" s="65"/>
      <c r="V11" s="65"/>
      <c r="W11" s="65"/>
      <c r="X11" s="65"/>
      <c r="Y11" s="65"/>
      <c r="Z11" s="65"/>
    </row>
    <row r="12" spans="2:26" ht="15" customHeight="1" thickBot="1" x14ac:dyDescent="0.4">
      <c r="B12" s="5"/>
      <c r="C12" s="6"/>
      <c r="D12" s="60"/>
      <c r="E12" s="13"/>
      <c r="F12" s="6"/>
      <c r="G12" s="71"/>
      <c r="H12" s="107"/>
      <c r="I12" s="6"/>
      <c r="J12" s="97" t="s">
        <v>132</v>
      </c>
      <c r="K12" s="98"/>
      <c r="L12" s="7"/>
      <c r="M12" s="45"/>
      <c r="N12" s="45"/>
      <c r="O12" s="45" t="s">
        <v>142</v>
      </c>
      <c r="P12" s="45">
        <v>12.1951219512195</v>
      </c>
      <c r="Q12" s="45">
        <v>48.780487804878</v>
      </c>
      <c r="R12" s="45">
        <v>39.024390243902403</v>
      </c>
      <c r="S12" s="45"/>
      <c r="T12" s="65"/>
      <c r="U12" s="65"/>
      <c r="V12" s="65"/>
      <c r="W12" s="65"/>
      <c r="X12" s="65"/>
      <c r="Y12" s="65"/>
      <c r="Z12" s="65"/>
    </row>
    <row r="13" spans="2:26" ht="15" customHeight="1" x14ac:dyDescent="0.35">
      <c r="B13" s="5"/>
      <c r="C13" s="39" t="s">
        <v>4</v>
      </c>
      <c r="D13" s="55" t="s">
        <v>12</v>
      </c>
      <c r="E13" s="33" t="s">
        <v>104</v>
      </c>
      <c r="F13" s="6"/>
      <c r="G13" s="84"/>
      <c r="H13" s="108">
        <f>IF(G13&lt;24,1.5,IF(AND(G13&gt;=24,G13&lt;30),0.5,0))</f>
        <v>1.5</v>
      </c>
      <c r="I13" s="6"/>
      <c r="J13" s="99"/>
      <c r="K13" s="100"/>
      <c r="L13" s="7"/>
      <c r="M13" s="45"/>
      <c r="N13" s="45"/>
      <c r="O13" s="45" t="s">
        <v>143</v>
      </c>
      <c r="P13" s="45">
        <v>7.0175438596491198</v>
      </c>
      <c r="Q13" s="45">
        <v>26.315789473684202</v>
      </c>
      <c r="R13" s="45">
        <v>66.6666666666666</v>
      </c>
      <c r="S13" s="45"/>
      <c r="T13" s="65"/>
      <c r="U13" s="65"/>
      <c r="V13" s="65"/>
      <c r="W13" s="65"/>
      <c r="X13" s="65"/>
      <c r="Y13" s="65"/>
      <c r="Z13" s="65"/>
    </row>
    <row r="14" spans="2:26" ht="15" customHeight="1" thickBot="1" x14ac:dyDescent="0.4">
      <c r="B14" s="5"/>
      <c r="C14" s="40" t="s">
        <v>10</v>
      </c>
      <c r="D14" s="56" t="s">
        <v>13</v>
      </c>
      <c r="E14" s="36" t="s">
        <v>105</v>
      </c>
      <c r="F14" s="6"/>
      <c r="G14" s="85"/>
      <c r="H14" s="105"/>
      <c r="I14" s="6"/>
      <c r="J14" s="101"/>
      <c r="K14" s="102"/>
      <c r="L14" s="7"/>
      <c r="M14" s="45"/>
      <c r="N14" s="45"/>
      <c r="O14" s="45" t="s">
        <v>144</v>
      </c>
      <c r="P14" s="45">
        <v>7.8947368421052602</v>
      </c>
      <c r="Q14" s="45">
        <v>18.421052631578899</v>
      </c>
      <c r="R14" s="45">
        <v>73.684210526315695</v>
      </c>
      <c r="S14" s="45"/>
      <c r="T14" s="65"/>
      <c r="U14" s="65"/>
      <c r="V14" s="65"/>
      <c r="W14" s="65"/>
      <c r="X14" s="65"/>
      <c r="Y14" s="65"/>
      <c r="Z14" s="65"/>
    </row>
    <row r="15" spans="2:26" ht="15" customHeight="1" thickBot="1" x14ac:dyDescent="0.4">
      <c r="B15" s="5"/>
      <c r="C15" s="41"/>
      <c r="D15" s="57" t="s">
        <v>14</v>
      </c>
      <c r="E15" s="34">
        <v>0</v>
      </c>
      <c r="F15" s="6"/>
      <c r="G15" s="86"/>
      <c r="H15" s="106"/>
      <c r="I15" s="6"/>
      <c r="J15" s="80" t="str">
        <f>IF(J10&gt;16,"Complete",IF(J10&lt;0,"To compute","Partial or Absent"))</f>
        <v>To compute</v>
      </c>
      <c r="K15" s="81"/>
      <c r="L15" s="7"/>
      <c r="M15" s="45"/>
      <c r="N15" s="45"/>
      <c r="O15" s="45" t="s">
        <v>145</v>
      </c>
      <c r="P15" s="45">
        <v>4</v>
      </c>
      <c r="Q15" s="45">
        <v>20</v>
      </c>
      <c r="R15" s="45">
        <v>76</v>
      </c>
      <c r="S15" s="45"/>
      <c r="T15" s="65"/>
      <c r="U15" s="65"/>
      <c r="V15" s="65"/>
      <c r="W15" s="65"/>
      <c r="X15" s="65"/>
      <c r="Y15" s="65"/>
      <c r="Z15" s="65"/>
    </row>
    <row r="16" spans="2:26" ht="15" customHeight="1" thickBot="1" x14ac:dyDescent="0.4">
      <c r="B16" s="5"/>
      <c r="C16" s="6"/>
      <c r="D16" s="60"/>
      <c r="E16" s="13"/>
      <c r="F16" s="6"/>
      <c r="G16" s="72"/>
      <c r="H16" s="107"/>
      <c r="I16" s="6"/>
      <c r="J16" s="82"/>
      <c r="K16" s="83"/>
      <c r="L16" s="7"/>
      <c r="M16" s="45"/>
      <c r="N16" s="45"/>
      <c r="O16" s="45" t="s">
        <v>146</v>
      </c>
      <c r="P16" s="45">
        <v>0</v>
      </c>
      <c r="Q16" s="45">
        <v>7.1428571428571397</v>
      </c>
      <c r="R16" s="45">
        <v>92.857142857142804</v>
      </c>
      <c r="S16" s="45"/>
      <c r="T16" s="65"/>
      <c r="U16" s="65"/>
      <c r="V16" s="65"/>
      <c r="W16" s="65"/>
      <c r="X16" s="65"/>
      <c r="Y16" s="65"/>
      <c r="Z16" s="65"/>
    </row>
    <row r="17" spans="2:22" ht="15" customHeight="1" thickBot="1" x14ac:dyDescent="0.4">
      <c r="B17" s="5"/>
      <c r="C17" s="39" t="s">
        <v>111</v>
      </c>
      <c r="D17" s="55" t="s">
        <v>100</v>
      </c>
      <c r="E17" s="33">
        <v>6</v>
      </c>
      <c r="F17" s="6"/>
      <c r="G17" s="84"/>
      <c r="H17" s="108">
        <f>IF(G17&lt;3,6,IF(AND(G17&gt;=3,G17&lt;9),3,0))</f>
        <v>6</v>
      </c>
      <c r="I17" s="6"/>
      <c r="L17" s="7"/>
      <c r="M17" s="45"/>
      <c r="N17" s="45"/>
      <c r="O17" s="45" t="s">
        <v>147</v>
      </c>
      <c r="P17" s="45">
        <v>0</v>
      </c>
      <c r="Q17" s="45">
        <v>0</v>
      </c>
      <c r="R17" s="45">
        <v>100</v>
      </c>
      <c r="S17" s="45"/>
      <c r="T17" s="45"/>
      <c r="U17" s="65"/>
      <c r="V17" s="65"/>
    </row>
    <row r="18" spans="2:22" ht="15" customHeight="1" x14ac:dyDescent="0.35">
      <c r="B18" s="5"/>
      <c r="C18" s="42" t="s">
        <v>9</v>
      </c>
      <c r="D18" s="61" t="s">
        <v>106</v>
      </c>
      <c r="E18" s="37">
        <v>3</v>
      </c>
      <c r="F18" s="6"/>
      <c r="G18" s="85"/>
      <c r="H18" s="105"/>
      <c r="I18" s="6"/>
      <c r="J18" s="92" t="s">
        <v>18</v>
      </c>
      <c r="K18" s="93"/>
      <c r="L18" s="7"/>
      <c r="M18" s="65"/>
      <c r="N18" s="65" t="s">
        <v>123</v>
      </c>
      <c r="O18" s="79" t="s">
        <v>133</v>
      </c>
      <c r="P18" s="79"/>
      <c r="Q18" s="79"/>
      <c r="R18" s="79"/>
      <c r="S18" s="79"/>
      <c r="T18" s="79"/>
      <c r="U18" s="79"/>
      <c r="V18" s="65"/>
    </row>
    <row r="19" spans="2:22" ht="15" customHeight="1" thickBot="1" x14ac:dyDescent="0.4">
      <c r="B19" s="5"/>
      <c r="C19" s="43"/>
      <c r="D19" s="57" t="s">
        <v>101</v>
      </c>
      <c r="E19" s="34">
        <v>0</v>
      </c>
      <c r="F19" s="6"/>
      <c r="G19" s="86"/>
      <c r="H19" s="106"/>
      <c r="I19" s="6"/>
      <c r="J19" s="94"/>
      <c r="K19" s="95"/>
      <c r="L19" s="7"/>
      <c r="M19" s="65"/>
      <c r="N19" s="65"/>
      <c r="O19" s="79"/>
      <c r="P19" s="79"/>
      <c r="Q19" s="79"/>
      <c r="R19" s="79"/>
      <c r="S19" s="79"/>
      <c r="T19" s="79"/>
      <c r="U19" s="79"/>
      <c r="V19" s="65"/>
    </row>
    <row r="20" spans="2:22" ht="15" customHeight="1" thickBot="1" x14ac:dyDescent="0.4">
      <c r="B20" s="5"/>
      <c r="C20" s="6"/>
      <c r="D20" s="60"/>
      <c r="E20" s="13"/>
      <c r="F20" s="6"/>
      <c r="G20" s="71"/>
      <c r="H20" s="107"/>
      <c r="I20" s="6"/>
      <c r="J20" s="75" t="s">
        <v>19</v>
      </c>
      <c r="K20" s="114" t="b">
        <f>IF(AND(J10&gt;=0,J10&lt;=2),R5,IF(AND(J10&gt;2,J10&lt;=4),R6,IF(AND(J10&gt;4,J10&lt;=6),R7,IF(AND(J10&gt;6,J10&lt;=8),R8,IF(AND(J10&gt;8,J10&lt;=10),R9,IF(AND(J10&gt;10,J10&lt;=12),R10,IF(AND(J10&gt;12,J10&lt;=14),R11,IF(AND(J10&gt;14,J10&lt;=16),R12,IF(AND(J10&gt;16,J10&lt;=18),R13,IF(AND(J10&gt;18,J10&lt;=20),R14,IF(AND(J10&gt;20,J10&lt;=22),R15,IF(AND(J10&gt;22,J10&lt;=24),R16,IF(AND(J10&gt;24,J10&lt;=25),R17)))))))))))))</f>
        <v>0</v>
      </c>
      <c r="L20" s="7"/>
      <c r="M20" s="65"/>
      <c r="N20" s="65"/>
      <c r="O20" s="79"/>
      <c r="P20" s="79"/>
      <c r="Q20" s="79"/>
      <c r="R20" s="79"/>
      <c r="S20" s="79"/>
      <c r="T20" s="79"/>
      <c r="U20" s="79"/>
      <c r="V20" s="65"/>
    </row>
    <row r="21" spans="2:22" ht="15" customHeight="1" x14ac:dyDescent="0.35">
      <c r="B21" s="5"/>
      <c r="C21" s="39" t="s">
        <v>112</v>
      </c>
      <c r="D21" s="55" t="s">
        <v>6</v>
      </c>
      <c r="E21" s="33">
        <v>0</v>
      </c>
      <c r="F21" s="6"/>
      <c r="G21" s="87"/>
      <c r="H21" s="108" t="str">
        <f>IF(G21="Yes",0,IF(G21="No",3,"Invalid"))</f>
        <v>Invalid</v>
      </c>
      <c r="I21" s="6"/>
      <c r="J21" s="76" t="s">
        <v>20</v>
      </c>
      <c r="K21" s="112" t="b">
        <f>IF(AND(J10&gt;=0,J10&lt;=2),Q5,IF(AND(J10&gt;2,J10&lt;=4),Q6,IF(AND(J10&gt;4,J10&lt;=6),Q7,IF(AND(J10&gt;6,J10&lt;=8),Q8,IF(AND(J10&gt;8,J10&lt;=10),Q9,IF(AND(J10&gt;10,J10&lt;=12),Q10,IF(AND(J10&gt;12,J10&lt;=14),Q11,IF(AND(J10&gt;14,J10&lt;=16),Q12,IF(AND(J10&gt;16,J10&lt;=18),Q13,IF(AND(J10&gt;18,J10&lt;=20),Q14,IF(AND(J10&gt;20,J10&lt;=22),Q15,IF(AND(J10&gt;22,J10&lt;=24),Q16,IF(AND(J10&gt;24,J10&lt;=25),Q17)))))))))))))</f>
        <v>0</v>
      </c>
      <c r="L21" s="7"/>
      <c r="M21" s="65"/>
      <c r="V21" s="65"/>
    </row>
    <row r="22" spans="2:22" ht="15" customHeight="1" thickBot="1" x14ac:dyDescent="0.4">
      <c r="B22" s="5"/>
      <c r="C22" s="41" t="s">
        <v>8</v>
      </c>
      <c r="D22" s="59" t="s">
        <v>7</v>
      </c>
      <c r="E22" s="38">
        <v>3</v>
      </c>
      <c r="F22" s="6"/>
      <c r="G22" s="88"/>
      <c r="H22" s="106"/>
      <c r="I22" s="6"/>
      <c r="J22" s="77" t="s">
        <v>21</v>
      </c>
      <c r="K22" s="113" t="b">
        <f>IF(AND(J10&gt;=0,J10&lt;=2),P5,IF(AND(J10&gt;2,J10&lt;=4),P6,IF(AND(J10&gt;4,J10&lt;=6),P7,IF(AND(J10&gt;6,J10&lt;=8),P8,IF(AND(J10&gt;8,J10&lt;=10),P9,IF(AND(J10&gt;10,J10&lt;=12),P10,IF(AND(J10&gt;12,J10&lt;=14),P11,IF(AND(J10&gt;14,J10&lt;=16),P12,IF(AND(J10&gt;16,J10&lt;=18),P13,IF(AND(J10&gt;18,J10&lt;=20),P14,IF(AND(J10&gt;20,J10&lt;=22),P15,IF(AND(J10&gt;22,J10&lt;=24),P16,IF(AND(J10&gt;24,J10&lt;=25),P17)))))))))))))</f>
        <v>0</v>
      </c>
      <c r="L22" s="7"/>
      <c r="M22" s="65"/>
      <c r="N22" s="65" t="s">
        <v>124</v>
      </c>
      <c r="O22" s="79" t="s">
        <v>134</v>
      </c>
      <c r="P22" s="79"/>
      <c r="Q22" s="79"/>
      <c r="R22" s="79"/>
      <c r="S22" s="79"/>
      <c r="T22" s="79"/>
      <c r="U22" s="79"/>
      <c r="V22" s="65"/>
    </row>
    <row r="23" spans="2:22" ht="15" customHeight="1" thickBot="1" x14ac:dyDescent="0.4">
      <c r="B23" s="5"/>
      <c r="D23" s="58"/>
      <c r="E23" s="13"/>
      <c r="F23" s="6"/>
      <c r="G23" s="71"/>
      <c r="H23" s="107"/>
      <c r="I23" s="6"/>
      <c r="L23" s="7"/>
      <c r="M23" s="65"/>
      <c r="N23" s="65"/>
      <c r="O23" s="79"/>
      <c r="P23" s="79"/>
      <c r="Q23" s="79"/>
      <c r="R23" s="79"/>
      <c r="S23" s="79"/>
      <c r="T23" s="79"/>
      <c r="U23" s="79"/>
      <c r="V23" s="65"/>
    </row>
    <row r="24" spans="2:22" ht="15" customHeight="1" x14ac:dyDescent="0.35">
      <c r="B24" s="5"/>
      <c r="C24" s="39" t="s">
        <v>113</v>
      </c>
      <c r="D24" s="55" t="s">
        <v>107</v>
      </c>
      <c r="E24" s="33">
        <v>0</v>
      </c>
      <c r="F24" s="6"/>
      <c r="G24" s="89"/>
      <c r="H24" s="109">
        <f>IF(G24&lt;13,0,IF(AND(G24&gt;=13,G24&lt;20),2,4))</f>
        <v>0</v>
      </c>
      <c r="I24" s="6"/>
      <c r="K24" s="78"/>
      <c r="L24" s="7"/>
      <c r="M24" s="65"/>
      <c r="V24" s="65"/>
    </row>
    <row r="25" spans="2:22" ht="15" customHeight="1" x14ac:dyDescent="0.35">
      <c r="B25" s="5"/>
      <c r="C25" s="40" t="s">
        <v>114</v>
      </c>
      <c r="D25" s="62" t="s">
        <v>108</v>
      </c>
      <c r="E25" s="36">
        <v>2</v>
      </c>
      <c r="F25" s="6"/>
      <c r="G25" s="90"/>
      <c r="H25" s="110"/>
      <c r="I25" s="6"/>
      <c r="K25" s="78"/>
      <c r="L25" s="7"/>
      <c r="M25" s="65"/>
      <c r="N25" s="65" t="s">
        <v>125</v>
      </c>
      <c r="O25" s="65" t="s">
        <v>129</v>
      </c>
      <c r="P25" s="65"/>
      <c r="Q25" s="65"/>
      <c r="R25" s="65"/>
      <c r="S25" s="65"/>
      <c r="T25" s="65"/>
      <c r="U25" s="65"/>
      <c r="V25" s="65"/>
    </row>
    <row r="26" spans="2:22" ht="15" customHeight="1" thickBot="1" x14ac:dyDescent="0.4">
      <c r="B26" s="5"/>
      <c r="C26" s="41"/>
      <c r="D26" s="57" t="s">
        <v>15</v>
      </c>
      <c r="E26" s="34">
        <v>4</v>
      </c>
      <c r="F26" s="6"/>
      <c r="G26" s="91"/>
      <c r="H26" s="111"/>
      <c r="I26" s="6"/>
      <c r="K26" s="78"/>
      <c r="L26" s="7"/>
      <c r="M26" s="65"/>
      <c r="N26" s="65"/>
      <c r="O26" s="65"/>
      <c r="P26" s="65"/>
      <c r="Q26" s="65"/>
      <c r="R26" s="65"/>
      <c r="S26" s="65"/>
      <c r="T26" s="65"/>
      <c r="U26" s="65"/>
      <c r="V26" s="65"/>
    </row>
    <row r="27" spans="2:22" ht="15" customHeight="1" thickBot="1" x14ac:dyDescent="0.4">
      <c r="B27" s="8"/>
      <c r="C27" s="9"/>
      <c r="D27" s="9"/>
      <c r="E27" s="14"/>
      <c r="F27" s="9"/>
      <c r="G27" s="73"/>
      <c r="H27" s="9"/>
      <c r="I27" s="9"/>
      <c r="J27" s="9"/>
      <c r="K27" s="9"/>
      <c r="L27" s="10"/>
      <c r="M27" s="65"/>
      <c r="N27" s="65"/>
      <c r="O27" s="65"/>
      <c r="P27" s="65"/>
      <c r="Q27" s="65"/>
      <c r="R27" s="65"/>
      <c r="S27" s="65"/>
      <c r="T27" s="65"/>
      <c r="U27" s="65"/>
      <c r="V27" s="65"/>
    </row>
    <row r="28" spans="2:22" ht="10" customHeight="1" x14ac:dyDescent="0.35">
      <c r="M28" s="65"/>
      <c r="N28" s="65"/>
      <c r="O28" s="65"/>
      <c r="P28" s="65"/>
      <c r="Q28" s="65"/>
      <c r="R28" s="65"/>
      <c r="S28" s="65"/>
      <c r="T28" s="65"/>
      <c r="U28" s="65"/>
      <c r="V28" s="65"/>
    </row>
    <row r="29" spans="2:22" x14ac:dyDescent="0.35">
      <c r="C29" s="1" t="s">
        <v>126</v>
      </c>
      <c r="M29" s="65"/>
      <c r="N29" s="65"/>
      <c r="O29" s="65"/>
      <c r="P29" s="65"/>
      <c r="Q29" s="65"/>
      <c r="R29" s="65"/>
      <c r="S29" s="65"/>
      <c r="T29" s="65"/>
      <c r="U29" s="65"/>
      <c r="V29" s="65"/>
    </row>
    <row r="30" spans="2:22" x14ac:dyDescent="0.35">
      <c r="C30" s="1" t="s">
        <v>131</v>
      </c>
      <c r="M30" s="65"/>
      <c r="N30" s="65"/>
      <c r="O30" s="65"/>
      <c r="P30" s="65"/>
      <c r="Q30" s="65"/>
      <c r="R30" s="65"/>
      <c r="S30" s="65"/>
      <c r="T30" s="65"/>
      <c r="U30" s="65"/>
      <c r="V30" s="65"/>
    </row>
    <row r="31" spans="2:22" x14ac:dyDescent="0.35">
      <c r="C31" s="1" t="s">
        <v>127</v>
      </c>
      <c r="M31" s="65"/>
      <c r="N31" s="65"/>
      <c r="O31" s="65"/>
      <c r="P31" s="65"/>
      <c r="Q31" s="65"/>
      <c r="R31" s="65"/>
      <c r="S31" s="65"/>
      <c r="T31" s="65"/>
      <c r="U31" s="65"/>
      <c r="V31" s="65"/>
    </row>
    <row r="32" spans="2:22" x14ac:dyDescent="0.35">
      <c r="C32" s="66" t="s">
        <v>128</v>
      </c>
      <c r="M32" s="65"/>
      <c r="N32" s="65"/>
      <c r="O32" s="65"/>
      <c r="P32" s="65"/>
      <c r="Q32" s="65"/>
      <c r="R32" s="65"/>
      <c r="S32" s="65"/>
      <c r="T32" s="65"/>
      <c r="U32" s="65"/>
      <c r="V32" s="65"/>
    </row>
    <row r="33" spans="13:22" x14ac:dyDescent="0.35">
      <c r="M33" s="65"/>
      <c r="N33" s="65"/>
      <c r="O33" s="65"/>
      <c r="P33" s="65"/>
      <c r="Q33" s="65"/>
      <c r="R33" s="65"/>
      <c r="S33" s="65"/>
      <c r="T33" s="65"/>
      <c r="U33" s="65"/>
      <c r="V33" s="65"/>
    </row>
    <row r="34" spans="13:22" x14ac:dyDescent="0.35">
      <c r="M34" s="65"/>
      <c r="N34" s="65"/>
      <c r="O34" s="65"/>
      <c r="P34" s="65"/>
      <c r="Q34" s="65"/>
      <c r="R34" s="65"/>
      <c r="S34" s="65"/>
      <c r="T34" s="65"/>
      <c r="U34" s="65"/>
      <c r="V34" s="65"/>
    </row>
    <row r="35" spans="13:22" x14ac:dyDescent="0.35">
      <c r="M35" s="65"/>
      <c r="N35" s="65"/>
      <c r="O35" s="65"/>
      <c r="P35" s="65"/>
      <c r="Q35" s="65"/>
      <c r="R35" s="65"/>
      <c r="S35" s="65"/>
      <c r="T35" s="65"/>
      <c r="U35" s="65"/>
      <c r="V35" s="65"/>
    </row>
  </sheetData>
  <sheetProtection algorithmName="SHA-512" hashValue="lSPsNdCtj8vhZuMYKgCckcLFfU2q93fWCMnyRPp5J15yxQU7pwNYgENbBNrfJQnuL85iXeQmmFh588/W9KKgyg==" saltValue="QxEm0xtLrbvltQrvZH7RZQ==" spinCount="100000" sheet="1" formatCells="0"/>
  <mergeCells count="17">
    <mergeCell ref="G24:G26"/>
    <mergeCell ref="J18:K19"/>
    <mergeCell ref="G6:G8"/>
    <mergeCell ref="G10:G11"/>
    <mergeCell ref="G13:G15"/>
    <mergeCell ref="H6:H8"/>
    <mergeCell ref="H10:H11"/>
    <mergeCell ref="H13:H15"/>
    <mergeCell ref="H17:H19"/>
    <mergeCell ref="H21:H22"/>
    <mergeCell ref="H24:H26"/>
    <mergeCell ref="J12:K14"/>
    <mergeCell ref="O22:U23"/>
    <mergeCell ref="J15:K16"/>
    <mergeCell ref="O18:U20"/>
    <mergeCell ref="G17:G19"/>
    <mergeCell ref="G21:G22"/>
  </mergeCells>
  <conditionalFormatting sqref="K10">
    <cfRule type="containsText" dxfId="1" priority="1" operator="containsText" text="Complete">
      <formula>NOT(ISERROR(SEARCH("Complete",K10)))</formula>
    </cfRule>
    <cfRule type="containsText" dxfId="0" priority="2" operator="containsText" text="Absent/Partial">
      <formula>NOT(ISERROR(SEARCH("Absent/Partial",K10)))</formula>
    </cfRule>
  </conditionalFormatting>
  <hyperlinks>
    <hyperlink ref="C32" r:id="rId1" xr:uid="{BC91A961-E4E1-C041-A37A-8279A5DD1AEB}"/>
  </hyperlinks>
  <pageMargins left="0.75" right="0.75" top="1" bottom="1" header="0.5" footer="0.5"/>
  <pageSetup paperSize="9" orientation="portrait" horizontalDpi="4294967292" vertic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12700</xdr:colOff>
                    <xdr:row>23</xdr:row>
                    <xdr:rowOff>63500</xdr:rowOff>
                  </from>
                  <to>
                    <xdr:col>10</xdr:col>
                    <xdr:colOff>990600</xdr:colOff>
                    <xdr:row>25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Pulsante 3">
              <controlPr defaultSize="0" print="0" autoFill="0" autoPict="0" macro="[0]!Calcolo_Score">
                <anchor moveWithCells="1" sizeWithCells="1">
                  <from>
                    <xdr:col>9</xdr:col>
                    <xdr:colOff>38100</xdr:colOff>
                    <xdr:row>4</xdr:row>
                    <xdr:rowOff>63500</xdr:rowOff>
                  </from>
                  <to>
                    <xdr:col>10</xdr:col>
                    <xdr:colOff>1016000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DDD</vt:lpstr>
      <vt:lpstr>PASO Score</vt:lpstr>
    </vt:vector>
  </TitlesOfParts>
  <Company>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Burrello</dc:creator>
  <cp:lastModifiedBy>alessio burrello</cp:lastModifiedBy>
  <dcterms:created xsi:type="dcterms:W3CDTF">2017-02-13T10:23:11Z</dcterms:created>
  <dcterms:modified xsi:type="dcterms:W3CDTF">2019-01-14T14:12:13Z</dcterms:modified>
</cp:coreProperties>
</file>